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Steven S\Downloads\"/>
    </mc:Choice>
  </mc:AlternateContent>
  <xr:revisionPtr revIDLastSave="0" documentId="13_ncr:1_{D1610B55-D2F3-492E-9410-DD23A6FE7687}" xr6:coauthVersionLast="47" xr6:coauthVersionMax="47" xr10:uidLastSave="{00000000-0000-0000-0000-000000000000}"/>
  <bookViews>
    <workbookView xWindow="-110" yWindow="-110" windowWidth="19420" windowHeight="10300" xr2:uid="{DB8C07B0-59D6-4785-8A04-1516840F9E72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B52" i="1"/>
  <c r="C52" i="1"/>
  <c r="D52" i="1"/>
  <c r="E52" i="1"/>
  <c r="F52" i="1"/>
  <c r="AA8" i="1"/>
  <c r="AA7" i="1"/>
  <c r="O55" i="1"/>
  <c r="J61" i="1"/>
  <c r="H60" i="1"/>
  <c r="J55" i="1" s="1"/>
  <c r="H54" i="1"/>
  <c r="F59" i="1"/>
  <c r="F58" i="1"/>
  <c r="F57" i="1"/>
  <c r="F56" i="1"/>
  <c r="F55" i="1"/>
  <c r="J2" i="1" a="1"/>
  <c r="J2" i="1" s="1"/>
  <c r="J52" i="1" s="1"/>
  <c r="L2" i="1"/>
  <c r="M2" i="1" a="1"/>
  <c r="M2" i="1" s="1"/>
  <c r="M52" i="1" s="1"/>
  <c r="E56" i="1" s="1"/>
  <c r="P2" i="1" a="1"/>
  <c r="P2" i="1" s="1"/>
  <c r="P52" i="1" s="1"/>
  <c r="E58" i="1" s="1"/>
  <c r="O2" i="1" a="1"/>
  <c r="O2" i="1" s="1"/>
  <c r="O52" i="1" s="1"/>
  <c r="E57" i="1" s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R5" i="1"/>
  <c r="T2" i="1" a="1"/>
  <c r="T2" i="1" s="1"/>
  <c r="S2" i="1"/>
  <c r="A59" i="1"/>
  <c r="A71" i="1" s="1"/>
  <c r="A77" i="1" s="1"/>
  <c r="A83" i="1" s="1"/>
  <c r="A89" i="1" s="1"/>
  <c r="A55" i="1"/>
  <c r="K2" i="1"/>
  <c r="C59" i="1" l="1"/>
  <c r="C65" i="1" s="1"/>
  <c r="C71" i="1" s="1"/>
  <c r="C83" i="1" s="1"/>
  <c r="C89" i="1" s="1"/>
  <c r="E63" i="1"/>
  <c r="E69" i="1" s="1"/>
  <c r="E75" i="1" s="1"/>
  <c r="E81" i="1" s="1"/>
  <c r="E64" i="1"/>
  <c r="E70" i="1" s="1"/>
  <c r="E76" i="1" s="1"/>
  <c r="E82" i="1" s="1"/>
  <c r="D59" i="1"/>
  <c r="D65" i="1" s="1"/>
  <c r="D71" i="1" s="1"/>
  <c r="D77" i="1" s="1"/>
  <c r="D89" i="1" s="1"/>
  <c r="E62" i="1"/>
  <c r="E68" i="1" s="1"/>
  <c r="E74" i="1" s="1"/>
  <c r="E80" i="1" s="1"/>
  <c r="B59" i="1"/>
  <c r="B65" i="1" s="1"/>
  <c r="A65" i="1"/>
  <c r="E55" i="1"/>
  <c r="E61" i="1" s="1"/>
  <c r="E67" i="1" s="1"/>
  <c r="E73" i="1" s="1"/>
  <c r="E79" i="1" s="1"/>
  <c r="Q52" i="1"/>
  <c r="T52" i="1"/>
  <c r="E59" i="1" s="1"/>
  <c r="E65" i="1" s="1"/>
  <c r="E71" i="1" s="1"/>
  <c r="E77" i="1" s="1"/>
  <c r="E83" i="1" s="1"/>
  <c r="C55" i="1"/>
  <c r="A58" i="1"/>
  <c r="B5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R3" i="1"/>
  <c r="R4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C77" i="1" l="1"/>
  <c r="B71" i="1"/>
  <c r="D83" i="1" s="1"/>
  <c r="E89" i="1" s="1"/>
  <c r="B77" i="1"/>
  <c r="B89" i="1" s="1"/>
  <c r="B83" i="1"/>
  <c r="AA6" i="1"/>
  <c r="A61" i="1"/>
  <c r="B79" i="1"/>
  <c r="K52" i="1"/>
  <c r="C56" i="1" s="1"/>
  <c r="R52" i="1"/>
  <c r="C57" i="1" s="1"/>
  <c r="C63" i="1" s="1"/>
  <c r="C87" i="1" s="1"/>
  <c r="A79" i="1"/>
  <c r="A73" i="1"/>
  <c r="A67" i="1"/>
  <c r="S52" i="1"/>
  <c r="I52" i="1"/>
  <c r="A82" i="1"/>
  <c r="A88" i="1" s="1"/>
  <c r="A70" i="1"/>
  <c r="A76" i="1"/>
  <c r="D55" i="1"/>
  <c r="N52" i="1"/>
  <c r="D57" i="1" s="1"/>
  <c r="H52" i="1"/>
  <c r="C67" i="1"/>
  <c r="C79" i="1"/>
  <c r="C61" i="1"/>
  <c r="C85" i="1" s="1"/>
  <c r="A57" i="1"/>
  <c r="B56" i="1"/>
  <c r="B62" i="1" s="1"/>
  <c r="B86" i="1" s="1"/>
  <c r="L52" i="1"/>
  <c r="G52" i="1"/>
  <c r="A56" i="1"/>
  <c r="A74" i="1" s="1"/>
  <c r="B73" i="1"/>
  <c r="B61" i="1"/>
  <c r="B85" i="1" s="1"/>
  <c r="D58" i="1" l="1"/>
  <c r="D70" i="1" s="1"/>
  <c r="D88" i="1" s="1"/>
  <c r="D80" i="1"/>
  <c r="E86" i="1" s="1"/>
  <c r="C75" i="1"/>
  <c r="C76" i="1"/>
  <c r="A85" i="1"/>
  <c r="B58" i="1"/>
  <c r="B76" i="1" s="1"/>
  <c r="D56" i="1"/>
  <c r="D62" i="1" s="1"/>
  <c r="D79" i="1"/>
  <c r="E85" i="1" s="1"/>
  <c r="C73" i="1"/>
  <c r="B67" i="1"/>
  <c r="D64" i="1"/>
  <c r="D76" i="1"/>
  <c r="D73" i="1"/>
  <c r="D67" i="1"/>
  <c r="D85" i="1" s="1"/>
  <c r="D61" i="1"/>
  <c r="C58" i="1"/>
  <c r="C70" i="1" s="1"/>
  <c r="C69" i="1"/>
  <c r="C81" i="1"/>
  <c r="A75" i="1"/>
  <c r="A69" i="1"/>
  <c r="A81" i="1"/>
  <c r="A87" i="1" s="1"/>
  <c r="D75" i="1"/>
  <c r="D69" i="1"/>
  <c r="D87" i="1" s="1"/>
  <c r="D63" i="1"/>
  <c r="B57" i="1"/>
  <c r="B63" i="1" s="1"/>
  <c r="B87" i="1" s="1"/>
  <c r="A68" i="1"/>
  <c r="B80" i="1"/>
  <c r="B74" i="1"/>
  <c r="A80" i="1"/>
  <c r="A86" i="1" s="1"/>
  <c r="A62" i="1"/>
  <c r="B68" i="1"/>
  <c r="C74" i="1"/>
  <c r="B82" i="1"/>
  <c r="B64" i="1"/>
  <c r="B88" i="1" s="1"/>
  <c r="C68" i="1"/>
  <c r="C80" i="1"/>
  <c r="C62" i="1"/>
  <c r="C86" i="1" s="1"/>
  <c r="B70" i="1" l="1"/>
  <c r="D74" i="1"/>
  <c r="A64" i="1"/>
  <c r="D82" i="1"/>
  <c r="E88" i="1" s="1"/>
  <c r="A63" i="1"/>
  <c r="D81" i="1"/>
  <c r="E87" i="1" s="1"/>
  <c r="B69" i="1"/>
  <c r="C64" i="1"/>
  <c r="C88" i="1" s="1"/>
  <c r="C82" i="1"/>
  <c r="B81" i="1"/>
  <c r="H78" i="1" s="1"/>
  <c r="J73" i="1" s="1"/>
  <c r="B75" i="1"/>
  <c r="H72" i="1" s="1"/>
  <c r="D68" i="1"/>
  <c r="D86" i="1" s="1"/>
  <c r="J67" i="1" l="1"/>
  <c r="AA3" i="1" s="1"/>
  <c r="H84" i="1"/>
  <c r="J79" i="1" s="1"/>
  <c r="AA5" i="1" s="1"/>
  <c r="M55" i="1"/>
  <c r="AA1" i="1"/>
  <c r="AA4" i="1"/>
  <c r="U55" i="1"/>
  <c r="H66" i="1"/>
  <c r="R55" i="1" l="1"/>
  <c r="W55" i="1"/>
  <c r="AA2" i="1"/>
  <c r="U3" i="1"/>
  <c r="U4" i="1"/>
  <c r="U35" i="1"/>
  <c r="V35" i="1" s="1"/>
  <c r="W35" i="1" s="1"/>
  <c r="U2" i="1" l="1"/>
  <c r="V2" i="1" s="1"/>
  <c r="W2" i="1" s="1"/>
  <c r="U42" i="1"/>
  <c r="X42" i="1" s="1"/>
  <c r="U39" i="1"/>
  <c r="X39" i="1" s="1"/>
  <c r="U10" i="1"/>
  <c r="X10" i="1" s="1"/>
  <c r="U26" i="1"/>
  <c r="X26" i="1" s="1"/>
  <c r="U43" i="1"/>
  <c r="V43" i="1" s="1"/>
  <c r="W43" i="1" s="1"/>
  <c r="U28" i="1"/>
  <c r="X28" i="1" s="1"/>
  <c r="U50" i="1"/>
  <c r="V50" i="1" s="1"/>
  <c r="W50" i="1" s="1"/>
  <c r="U24" i="1"/>
  <c r="X24" i="1" s="1"/>
  <c r="U51" i="1"/>
  <c r="X51" i="1" s="1"/>
  <c r="U17" i="1"/>
  <c r="X17" i="1" s="1"/>
  <c r="U32" i="1"/>
  <c r="V32" i="1" s="1"/>
  <c r="W32" i="1" s="1"/>
  <c r="U45" i="1"/>
  <c r="V45" i="1" s="1"/>
  <c r="W45" i="1" s="1"/>
  <c r="U41" i="1"/>
  <c r="V41" i="1" s="1"/>
  <c r="W41" i="1" s="1"/>
  <c r="U49" i="1"/>
  <c r="V49" i="1" s="1"/>
  <c r="W49" i="1" s="1"/>
  <c r="U14" i="1"/>
  <c r="X14" i="1" s="1"/>
  <c r="U11" i="1"/>
  <c r="V11" i="1" s="1"/>
  <c r="W11" i="1" s="1"/>
  <c r="U36" i="1"/>
  <c r="V36" i="1" s="1"/>
  <c r="W36" i="1" s="1"/>
  <c r="U21" i="1"/>
  <c r="X21" i="1" s="1"/>
  <c r="U7" i="1"/>
  <c r="X7" i="1" s="1"/>
  <c r="U19" i="1"/>
  <c r="X19" i="1" s="1"/>
  <c r="U33" i="1"/>
  <c r="X33" i="1" s="1"/>
  <c r="U27" i="1"/>
  <c r="V27" i="1" s="1"/>
  <c r="W27" i="1" s="1"/>
  <c r="U8" i="1"/>
  <c r="V8" i="1" s="1"/>
  <c r="W8" i="1" s="1"/>
  <c r="U22" i="1"/>
  <c r="X22" i="1" s="1"/>
  <c r="U16" i="1"/>
  <c r="X16" i="1" s="1"/>
  <c r="U13" i="1"/>
  <c r="V13" i="1" s="1"/>
  <c r="W13" i="1" s="1"/>
  <c r="U34" i="1"/>
  <c r="X34" i="1" s="1"/>
  <c r="U47" i="1"/>
  <c r="V47" i="1" s="1"/>
  <c r="W47" i="1" s="1"/>
  <c r="U23" i="1"/>
  <c r="V23" i="1" s="1"/>
  <c r="W23" i="1" s="1"/>
  <c r="U31" i="1"/>
  <c r="X31" i="1" s="1"/>
  <c r="U40" i="1"/>
  <c r="V40" i="1" s="1"/>
  <c r="W40" i="1" s="1"/>
  <c r="X3" i="1"/>
  <c r="U44" i="1"/>
  <c r="V44" i="1" s="1"/>
  <c r="W44" i="1" s="1"/>
  <c r="U12" i="1"/>
  <c r="X12" i="1" s="1"/>
  <c r="U37" i="1"/>
  <c r="X37" i="1" s="1"/>
  <c r="U48" i="1"/>
  <c r="V48" i="1" s="1"/>
  <c r="W48" i="1" s="1"/>
  <c r="U38" i="1"/>
  <c r="X38" i="1" s="1"/>
  <c r="U20" i="1"/>
  <c r="X20" i="1" s="1"/>
  <c r="U46" i="1"/>
  <c r="X46" i="1" s="1"/>
  <c r="U18" i="1"/>
  <c r="U6" i="1"/>
  <c r="X6" i="1" s="1"/>
  <c r="V4" i="1"/>
  <c r="W4" i="1" s="1"/>
  <c r="U15" i="1"/>
  <c r="X15" i="1" s="1"/>
  <c r="U9" i="1"/>
  <c r="X9" i="1" s="1"/>
  <c r="U25" i="1"/>
  <c r="X25" i="1" s="1"/>
  <c r="U5" i="1"/>
  <c r="V5" i="1" s="1"/>
  <c r="W5" i="1" s="1"/>
  <c r="U29" i="1"/>
  <c r="V29" i="1" s="1"/>
  <c r="W29" i="1" s="1"/>
  <c r="U30" i="1"/>
  <c r="X30" i="1" s="1"/>
  <c r="X35" i="1"/>
  <c r="V39" i="1" l="1"/>
  <c r="W39" i="1" s="1"/>
  <c r="X43" i="1"/>
  <c r="V42" i="1"/>
  <c r="W42" i="1" s="1"/>
  <c r="X41" i="1"/>
  <c r="V28" i="1"/>
  <c r="W28" i="1" s="1"/>
  <c r="X50" i="1"/>
  <c r="V10" i="1"/>
  <c r="W10" i="1" s="1"/>
  <c r="V26" i="1"/>
  <c r="W26" i="1" s="1"/>
  <c r="V24" i="1"/>
  <c r="W24" i="1" s="1"/>
  <c r="V33" i="1"/>
  <c r="W33" i="1" s="1"/>
  <c r="X32" i="1"/>
  <c r="V14" i="1"/>
  <c r="W14" i="1" s="1"/>
  <c r="V17" i="1"/>
  <c r="W17" i="1" s="1"/>
  <c r="V51" i="1"/>
  <c r="W51" i="1" s="1"/>
  <c r="V21" i="1"/>
  <c r="W21" i="1" s="1"/>
  <c r="X45" i="1"/>
  <c r="X49" i="1"/>
  <c r="X11" i="1"/>
  <c r="X36" i="1"/>
  <c r="V19" i="1"/>
  <c r="W19" i="1" s="1"/>
  <c r="V7" i="1"/>
  <c r="W7" i="1" s="1"/>
  <c r="X8" i="1"/>
  <c r="X27" i="1"/>
  <c r="V16" i="1"/>
  <c r="W16" i="1" s="1"/>
  <c r="V3" i="1"/>
  <c r="W3" i="1" s="1"/>
  <c r="X13" i="1"/>
  <c r="V22" i="1"/>
  <c r="W22" i="1" s="1"/>
  <c r="X47" i="1"/>
  <c r="V34" i="1"/>
  <c r="W34" i="1" s="1"/>
  <c r="X48" i="1"/>
  <c r="V31" i="1"/>
  <c r="W31" i="1" s="1"/>
  <c r="V37" i="1"/>
  <c r="W37" i="1" s="1"/>
  <c r="X23" i="1"/>
  <c r="X44" i="1"/>
  <c r="X40" i="1"/>
  <c r="V12" i="1"/>
  <c r="W12" i="1" s="1"/>
  <c r="X29" i="1"/>
  <c r="V6" i="1"/>
  <c r="W6" i="1" s="1"/>
  <c r="X4" i="1"/>
  <c r="V46" i="1"/>
  <c r="W46" i="1" s="1"/>
  <c r="V38" i="1"/>
  <c r="W38" i="1" s="1"/>
  <c r="V15" i="1"/>
  <c r="W15" i="1" s="1"/>
  <c r="V9" i="1"/>
  <c r="W9" i="1" s="1"/>
  <c r="V20" i="1"/>
  <c r="W20" i="1" s="1"/>
  <c r="V25" i="1"/>
  <c r="W25" i="1" s="1"/>
  <c r="X5" i="1"/>
  <c r="V18" i="1"/>
  <c r="W18" i="1" s="1"/>
  <c r="X18" i="1"/>
  <c r="V30" i="1"/>
  <c r="W30" i="1" s="1"/>
  <c r="W52" i="1" l="1"/>
  <c r="X52" i="1"/>
  <c r="AA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<sst xmlns="http://schemas.openxmlformats.org/spreadsheetml/2006/main" count="84" uniqueCount="78">
  <si>
    <t>No.</t>
  </si>
  <si>
    <t>X1Y</t>
  </si>
  <si>
    <t>X2Y</t>
  </si>
  <si>
    <t>X3Y</t>
  </si>
  <si>
    <t>X1X2</t>
  </si>
  <si>
    <t>X1X3</t>
  </si>
  <si>
    <t>X2X3</t>
  </si>
  <si>
    <t>X1^2</t>
  </si>
  <si>
    <t>X2^2</t>
  </si>
  <si>
    <t>X3^2</t>
  </si>
  <si>
    <t>Total</t>
  </si>
  <si>
    <t xml:space="preserve">Matriks A </t>
  </si>
  <si>
    <t>H</t>
  </si>
  <si>
    <t>Matriks A1</t>
  </si>
  <si>
    <t>Matriks A2</t>
  </si>
  <si>
    <t>Matriks A3</t>
  </si>
  <si>
    <t>Martiks A4</t>
  </si>
  <si>
    <t>DET (A)</t>
  </si>
  <si>
    <t>DET(A1)</t>
  </si>
  <si>
    <t>DET(A2)</t>
  </si>
  <si>
    <t>DET(A3)</t>
  </si>
  <si>
    <t>DET(A4)</t>
  </si>
  <si>
    <t>B1</t>
  </si>
  <si>
    <t>B2</t>
  </si>
  <si>
    <t>B3</t>
  </si>
  <si>
    <t>B4</t>
  </si>
  <si>
    <t>Persamaan Regresi</t>
  </si>
  <si>
    <t>Y=</t>
  </si>
  <si>
    <t>+</t>
  </si>
  <si>
    <t>X1</t>
  </si>
  <si>
    <t>X2</t>
  </si>
  <si>
    <t>X3</t>
  </si>
  <si>
    <t>Ypred</t>
  </si>
  <si>
    <t>r</t>
  </si>
  <si>
    <t>r^2</t>
  </si>
  <si>
    <t>b1</t>
  </si>
  <si>
    <t>b2</t>
  </si>
  <si>
    <t>b3</t>
  </si>
  <si>
    <t>b4</t>
  </si>
  <si>
    <t>y rata rata</t>
  </si>
  <si>
    <t>RMSE</t>
  </si>
  <si>
    <t>MSE</t>
  </si>
  <si>
    <t>MAPE</t>
  </si>
  <si>
    <t>Hours Studied (X)</t>
  </si>
  <si>
    <t>Previous Scores (X2)</t>
  </si>
  <si>
    <t>Sleep Hours(X3)</t>
  </si>
  <si>
    <t>Performance Index (Y)</t>
  </si>
  <si>
    <t>Sample Question(X4)</t>
  </si>
  <si>
    <t>X4^2</t>
  </si>
  <si>
    <t>n</t>
  </si>
  <si>
    <t>x1</t>
  </si>
  <si>
    <t>x2</t>
  </si>
  <si>
    <t>x3</t>
  </si>
  <si>
    <t>x4</t>
  </si>
  <si>
    <t>x2x1</t>
  </si>
  <si>
    <t>x2x2</t>
  </si>
  <si>
    <t>x2x3</t>
  </si>
  <si>
    <t>x2x4</t>
  </si>
  <si>
    <t>x3x1</t>
  </si>
  <si>
    <t>x3x2</t>
  </si>
  <si>
    <t>x3x3</t>
  </si>
  <si>
    <t>x3x4</t>
  </si>
  <si>
    <t>x4x1</t>
  </si>
  <si>
    <t>x4x2</t>
  </si>
  <si>
    <t>x4x3</t>
  </si>
  <si>
    <t>x4x4</t>
  </si>
  <si>
    <t>x1x2</t>
  </si>
  <si>
    <t>x1x3</t>
  </si>
  <si>
    <t>x1x4</t>
  </si>
  <si>
    <t>x1^2</t>
  </si>
  <si>
    <t>X1X4</t>
  </si>
  <si>
    <t>X2X4</t>
  </si>
  <si>
    <t>X3X4</t>
  </si>
  <si>
    <t>X4Y</t>
  </si>
  <si>
    <t>Matriks A5</t>
  </si>
  <si>
    <t>DET(A5)</t>
  </si>
  <si>
    <t>A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</si>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</sst>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/>
    <xf numFmtId="0" fontId="0" fillId="0" borderId="1" xfId="0" applyBorder="1"/>
    <xf numFmtId="0" fontId="0" fillId="3" borderId="0" xfId="0" applyFill="1"/>
    <xf numFmtId="0" fontId="1" fillId="3" borderId="0" xfId="0" applyFont="1" applyFill="1"/>
    <xf numFmtId="0" fontId="1" fillId="0" borderId="2" xfId="0" applyFont="1" applyBorder="1"/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2" fillId="3" borderId="0" xfId="0" applyFont="1" applyFill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B784EA20-8599-4D17-95F2-45EFC05543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197093</xdr:colOff>
      <xdr:row>0</xdr:row>
      <xdr:rowOff>0</xdr:rowOff>
    </xdr:from>
    <xdr:ext cx="395942" cy="3511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23">
              <a:extLst>
                <a:ext uri="{FF2B5EF4-FFF2-40B4-BE49-F238E27FC236}">
                  <a16:creationId xmlns:a16="http://schemas.microsoft.com/office/drawing/2014/main" id="{EA2817FA-DDE4-4001-B286-151F13728266}"/>
                </a:ext>
              </a:extLst>
            </xdr:cNvPr>
            <xdr:cNvSpPr txBox="1"/>
          </xdr:nvSpPr>
          <xdr:spPr>
            <a:xfrm>
              <a:off x="20555813" y="0"/>
              <a:ext cx="395942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̂"/>
                            <m:ctrlPr>
                              <a:rPr lang="en-ID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23">
              <a:extLst>
                <a:ext uri="{FF2B5EF4-FFF2-40B4-BE49-F238E27FC236}">
                  <a16:creationId xmlns:a16="http://schemas.microsoft.com/office/drawing/2014/main" id="{EA2817FA-DDE4-4001-B286-151F13728266}"/>
                </a:ext>
              </a:extLst>
            </xdr:cNvPr>
            <xdr:cNvSpPr txBox="1"/>
          </xdr:nvSpPr>
          <xdr:spPr>
            <a:xfrm>
              <a:off x="20555813" y="0"/>
              <a:ext cx="395942" cy="351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(𝑦_𝑖−𝑦</a:t>
              </a:r>
              <a:r>
                <a:rPr lang="en-ID" sz="1100" b="0" i="0">
                  <a:latin typeface="Cambria Math" panose="02040503050406030204" pitchFamily="18" charset="0"/>
                </a:rPr>
                <a:t> ̂</a:t>
              </a:r>
              <a:r>
                <a:rPr lang="en-US" sz="1100" b="0" i="0">
                  <a:latin typeface="Cambria Math" panose="02040503050406030204" pitchFamily="18" charset="0"/>
                </a:rPr>
                <a:t>)/𝑦_𝑖 </a:t>
              </a:r>
              <a:endParaRPr lang="en-US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631C-045E-4B7A-8A64-6E5CE1D04AB5}">
  <dimension ref="A1:AH89"/>
  <sheetViews>
    <sheetView tabSelected="1" topLeftCell="N1" zoomScale="76" zoomScaleNormal="60" workbookViewId="0">
      <selection activeCell="AA9" sqref="AA9"/>
    </sheetView>
  </sheetViews>
  <sheetFormatPr defaultRowHeight="14.5" x14ac:dyDescent="0.35"/>
  <cols>
    <col min="1" max="1" width="11.453125" customWidth="1"/>
    <col min="2" max="2" width="16.08984375" customWidth="1"/>
    <col min="3" max="3" width="17.6328125" customWidth="1"/>
    <col min="4" max="4" width="15.08984375" customWidth="1"/>
    <col min="5" max="5" width="20.7265625" customWidth="1"/>
    <col min="6" max="6" width="20.90625" customWidth="1"/>
    <col min="8" max="8" width="28" customWidth="1"/>
    <col min="14" max="14" width="12.1796875" customWidth="1"/>
    <col min="15" max="15" width="14" customWidth="1"/>
    <col min="16" max="16" width="12.81640625" customWidth="1"/>
    <col min="17" max="17" width="13.7265625" customWidth="1"/>
    <col min="18" max="19" width="8.81640625" bestFit="1" customWidth="1"/>
    <col min="23" max="23" width="12.1796875" bestFit="1" customWidth="1"/>
    <col min="25" max="25" width="12.1796875" bestFit="1" customWidth="1"/>
    <col min="26" max="26" width="11.81640625" bestFit="1" customWidth="1"/>
  </cols>
  <sheetData>
    <row r="1" spans="1:34" ht="29.5" customHeight="1" x14ac:dyDescent="0.35">
      <c r="A1" s="10" t="s">
        <v>0</v>
      </c>
      <c r="B1" s="11" t="s">
        <v>43</v>
      </c>
      <c r="C1" s="11" t="s">
        <v>44</v>
      </c>
      <c r="D1" s="11" t="s">
        <v>45</v>
      </c>
      <c r="E1" s="11" t="s">
        <v>47</v>
      </c>
      <c r="F1" s="13" t="s">
        <v>46</v>
      </c>
      <c r="G1" s="11" t="s">
        <v>1</v>
      </c>
      <c r="H1" s="11" t="s">
        <v>2</v>
      </c>
      <c r="I1" s="11" t="s">
        <v>3</v>
      </c>
      <c r="J1" s="14" t="s">
        <v>73</v>
      </c>
      <c r="K1" s="11" t="s">
        <v>4</v>
      </c>
      <c r="L1" s="11" t="s">
        <v>5</v>
      </c>
      <c r="M1" s="14" t="s">
        <v>70</v>
      </c>
      <c r="N1" s="11" t="s">
        <v>6</v>
      </c>
      <c r="O1" s="14" t="s">
        <v>71</v>
      </c>
      <c r="P1" s="14" t="s">
        <v>72</v>
      </c>
      <c r="Q1" s="11" t="s">
        <v>7</v>
      </c>
      <c r="R1" s="11" t="s">
        <v>8</v>
      </c>
      <c r="S1" s="11" t="s">
        <v>9</v>
      </c>
      <c r="T1" s="11" t="s">
        <v>48</v>
      </c>
      <c r="U1" s="11" t="s">
        <v>32</v>
      </c>
      <c r="V1" s="11" t="s">
        <v>33</v>
      </c>
      <c r="W1" s="11" t="s">
        <v>34</v>
      </c>
      <c r="X1" s="12"/>
      <c r="Z1" s="29" t="s">
        <v>77</v>
      </c>
      <c r="AA1" s="30">
        <f>J55</f>
        <v>-34.227627361578456</v>
      </c>
    </row>
    <row r="2" spans="1:34" x14ac:dyDescent="0.35">
      <c r="A2" s="2">
        <v>1</v>
      </c>
      <c r="B2" s="2">
        <v>7</v>
      </c>
      <c r="C2" s="2">
        <v>99</v>
      </c>
      <c r="D2" s="2">
        <v>9</v>
      </c>
      <c r="E2" s="15">
        <v>1</v>
      </c>
      <c r="F2" s="2">
        <v>91</v>
      </c>
      <c r="G2" s="2">
        <f t="shared" ref="G2:G33" si="0">B2*F2</f>
        <v>637</v>
      </c>
      <c r="H2" s="2">
        <f t="shared" ref="H2:H33" si="1">C2*F2</f>
        <v>9009</v>
      </c>
      <c r="I2" s="2">
        <f t="shared" ref="I2:I33" si="2">D2*F2</f>
        <v>819</v>
      </c>
      <c r="J2" s="2" cm="1">
        <f t="array" ref="J2:J51">(E2:E51*F2:F51)</f>
        <v>91</v>
      </c>
      <c r="K2" s="2">
        <f t="shared" ref="K2:K33" si="3">B2*C2</f>
        <v>693</v>
      </c>
      <c r="L2" s="2">
        <f t="shared" ref="L2:L33" si="4">B2*D2</f>
        <v>63</v>
      </c>
      <c r="M2" s="2" cm="1">
        <f t="array" ref="M2:M51">(B2:B51*E2:E51)</f>
        <v>7</v>
      </c>
      <c r="N2" s="2">
        <f t="shared" ref="N2:N33" si="5">C2*D2</f>
        <v>891</v>
      </c>
      <c r="O2" s="2" cm="1">
        <f t="array" ref="O2:O51">(C2:C51*E2:E51)</f>
        <v>99</v>
      </c>
      <c r="P2" s="2" cm="1">
        <f t="array" ref="P2:P51">(D2:D51*E2:E51)</f>
        <v>9</v>
      </c>
      <c r="Q2" s="2">
        <f t="shared" ref="Q2:Q33" si="6">B2^2</f>
        <v>49</v>
      </c>
      <c r="R2" s="2">
        <f t="shared" ref="R2:R33" si="7">C2^2</f>
        <v>9801</v>
      </c>
      <c r="S2" s="2">
        <f t="shared" ref="S2:S33" si="8">D2^2</f>
        <v>81</v>
      </c>
      <c r="T2" s="2" cm="1">
        <f t="array" ref="T2:T51">E2:E51^2</f>
        <v>1</v>
      </c>
      <c r="U2" s="2">
        <f>M55+(O55*B2)+(R55*C2)+(U55*D2)+(W55*E2)</f>
        <v>90.826685924163584</v>
      </c>
      <c r="V2" s="2">
        <f t="shared" ref="V2:V33" si="9">U2-F2</f>
        <v>-0.17331407583641578</v>
      </c>
      <c r="W2" s="2">
        <f t="shared" ref="W2:W33" si="10">V2^2</f>
        <v>3.003776888303088E-2</v>
      </c>
      <c r="X2" s="5">
        <f>ABS((F2-U2)/F2)</f>
        <v>1.904550283916657E-3</v>
      </c>
      <c r="Z2" t="s">
        <v>35</v>
      </c>
      <c r="AA2">
        <f>J61</f>
        <v>2.9177979764221282</v>
      </c>
      <c r="AC2">
        <v>50</v>
      </c>
      <c r="AD2">
        <v>260</v>
      </c>
      <c r="AE2">
        <v>3545</v>
      </c>
      <c r="AF2">
        <v>319</v>
      </c>
      <c r="AG2">
        <v>171</v>
      </c>
    </row>
    <row r="3" spans="1:34" x14ac:dyDescent="0.35">
      <c r="A3" s="2">
        <v>2</v>
      </c>
      <c r="B3" s="2">
        <v>4</v>
      </c>
      <c r="C3" s="2">
        <v>82</v>
      </c>
      <c r="D3" s="2">
        <v>4</v>
      </c>
      <c r="E3" s="15">
        <v>2</v>
      </c>
      <c r="F3" s="2">
        <v>65</v>
      </c>
      <c r="G3" s="2">
        <f t="shared" si="0"/>
        <v>260</v>
      </c>
      <c r="H3" s="2">
        <f t="shared" si="1"/>
        <v>5330</v>
      </c>
      <c r="I3" s="2">
        <f t="shared" si="2"/>
        <v>260</v>
      </c>
      <c r="J3" s="2">
        <v>130</v>
      </c>
      <c r="K3" s="2">
        <f t="shared" si="3"/>
        <v>328</v>
      </c>
      <c r="L3" s="2">
        <f t="shared" si="4"/>
        <v>16</v>
      </c>
      <c r="M3" s="2">
        <v>8</v>
      </c>
      <c r="N3" s="2">
        <f t="shared" si="5"/>
        <v>328</v>
      </c>
      <c r="O3" s="2">
        <v>164</v>
      </c>
      <c r="P3" s="2">
        <v>8</v>
      </c>
      <c r="Q3" s="2">
        <f t="shared" si="6"/>
        <v>16</v>
      </c>
      <c r="R3" s="2">
        <f t="shared" si="7"/>
        <v>6724</v>
      </c>
      <c r="S3" s="2">
        <f t="shared" si="8"/>
        <v>16</v>
      </c>
      <c r="T3" s="2">
        <v>4</v>
      </c>
      <c r="U3" s="2">
        <f>M$55+(O$55*B3)+(R$55*C3)+(U$55*D3)+(W$55&amp;E3)</f>
        <v>62.670558647263206</v>
      </c>
      <c r="V3" s="2">
        <f t="shared" si="9"/>
        <v>-2.3294413527367936</v>
      </c>
      <c r="W3" s="2">
        <f t="shared" si="10"/>
        <v>5.4262970158402233</v>
      </c>
      <c r="X3" s="5">
        <f t="shared" ref="X2:X33" si="11">ABS((F3-U3)/F3)</f>
        <v>3.5837559272873749E-2</v>
      </c>
      <c r="Z3" t="s">
        <v>36</v>
      </c>
      <c r="AA3">
        <f>J67</f>
        <v>1.0151215421235111</v>
      </c>
      <c r="AC3">
        <v>260</v>
      </c>
      <c r="AD3">
        <v>1656</v>
      </c>
      <c r="AE3">
        <v>18251</v>
      </c>
      <c r="AF3">
        <v>1715</v>
      </c>
      <c r="AG3">
        <v>896</v>
      </c>
    </row>
    <row r="4" spans="1:34" x14ac:dyDescent="0.35">
      <c r="A4" s="2">
        <v>3</v>
      </c>
      <c r="B4" s="2">
        <v>8</v>
      </c>
      <c r="C4" s="2">
        <v>51</v>
      </c>
      <c r="D4" s="2">
        <v>7</v>
      </c>
      <c r="E4" s="15">
        <v>2</v>
      </c>
      <c r="F4" s="2">
        <v>45</v>
      </c>
      <c r="G4" s="2">
        <f t="shared" si="0"/>
        <v>360</v>
      </c>
      <c r="H4" s="2">
        <f t="shared" si="1"/>
        <v>2295</v>
      </c>
      <c r="I4" s="2">
        <f t="shared" si="2"/>
        <v>315</v>
      </c>
      <c r="J4" s="2">
        <v>90</v>
      </c>
      <c r="K4" s="2">
        <f t="shared" si="3"/>
        <v>408</v>
      </c>
      <c r="L4" s="2">
        <f t="shared" si="4"/>
        <v>56</v>
      </c>
      <c r="M4" s="2">
        <v>16</v>
      </c>
      <c r="N4" s="2">
        <f t="shared" si="5"/>
        <v>357</v>
      </c>
      <c r="O4" s="2">
        <v>102</v>
      </c>
      <c r="P4" s="2">
        <v>14</v>
      </c>
      <c r="Q4" s="2">
        <f t="shared" si="6"/>
        <v>64</v>
      </c>
      <c r="R4" s="2">
        <f t="shared" si="7"/>
        <v>2601</v>
      </c>
      <c r="S4" s="2">
        <f t="shared" si="8"/>
        <v>49</v>
      </c>
      <c r="T4" s="2">
        <v>4</v>
      </c>
      <c r="U4" s="2">
        <f t="shared" ref="U4:U51" si="12">M$55+(O$55*B4)+(R$55*C4)+(U$55*D4)</f>
        <v>43.889889082245666</v>
      </c>
      <c r="V4" s="2">
        <f t="shared" si="9"/>
        <v>-1.1101109177543336</v>
      </c>
      <c r="W4" s="2">
        <f t="shared" si="10"/>
        <v>1.2323462497173687</v>
      </c>
      <c r="X4" s="5">
        <f t="shared" si="11"/>
        <v>2.4669131505651858E-2</v>
      </c>
      <c r="Z4" t="s">
        <v>37</v>
      </c>
      <c r="AA4">
        <f>J73</f>
        <v>0.42913342630686135</v>
      </c>
      <c r="AC4">
        <v>3545</v>
      </c>
      <c r="AD4">
        <v>18251</v>
      </c>
      <c r="AE4">
        <v>263279</v>
      </c>
      <c r="AF4">
        <v>22504</v>
      </c>
      <c r="AG4">
        <v>12299</v>
      </c>
    </row>
    <row r="5" spans="1:34" x14ac:dyDescent="0.35">
      <c r="A5" s="2">
        <v>4</v>
      </c>
      <c r="B5" s="2">
        <v>5</v>
      </c>
      <c r="C5" s="2">
        <v>52</v>
      </c>
      <c r="D5" s="2">
        <v>5</v>
      </c>
      <c r="E5" s="15">
        <v>2</v>
      </c>
      <c r="F5" s="2">
        <v>36</v>
      </c>
      <c r="G5" s="2">
        <f t="shared" si="0"/>
        <v>180</v>
      </c>
      <c r="H5" s="2">
        <f t="shared" si="1"/>
        <v>1872</v>
      </c>
      <c r="I5" s="2">
        <f t="shared" si="2"/>
        <v>180</v>
      </c>
      <c r="J5" s="2">
        <v>72</v>
      </c>
      <c r="K5" s="2">
        <f t="shared" si="3"/>
        <v>260</v>
      </c>
      <c r="L5" s="2">
        <f t="shared" si="4"/>
        <v>25</v>
      </c>
      <c r="M5" s="2">
        <v>10</v>
      </c>
      <c r="N5" s="2">
        <f t="shared" si="5"/>
        <v>260</v>
      </c>
      <c r="O5" s="2">
        <v>104</v>
      </c>
      <c r="P5" s="2">
        <v>10</v>
      </c>
      <c r="Q5" s="2">
        <f t="shared" si="6"/>
        <v>25</v>
      </c>
      <c r="R5" s="2">
        <f t="shared" si="7"/>
        <v>2704</v>
      </c>
      <c r="S5" s="2">
        <f t="shared" si="8"/>
        <v>25</v>
      </c>
      <c r="T5" s="2">
        <v>4</v>
      </c>
      <c r="U5" s="2">
        <f t="shared" si="12"/>
        <v>35.293349842489079</v>
      </c>
      <c r="V5" s="2">
        <f t="shared" si="9"/>
        <v>-0.70665015751092142</v>
      </c>
      <c r="W5" s="2">
        <f t="shared" si="10"/>
        <v>0.49935444511021004</v>
      </c>
      <c r="X5" s="5">
        <f t="shared" si="11"/>
        <v>1.9629171041970039E-2</v>
      </c>
      <c r="Z5" t="s">
        <v>38</v>
      </c>
      <c r="AA5">
        <f>J79</f>
        <v>0.27049394379779013</v>
      </c>
      <c r="AC5">
        <v>319</v>
      </c>
      <c r="AD5">
        <v>1715</v>
      </c>
      <c r="AE5">
        <v>22504</v>
      </c>
      <c r="AF5">
        <v>2195</v>
      </c>
      <c r="AG5">
        <v>1066</v>
      </c>
    </row>
    <row r="6" spans="1:34" x14ac:dyDescent="0.35">
      <c r="A6" s="2">
        <v>5</v>
      </c>
      <c r="B6" s="2">
        <v>7</v>
      </c>
      <c r="C6" s="2">
        <v>75</v>
      </c>
      <c r="D6" s="2">
        <v>8</v>
      </c>
      <c r="E6" s="15">
        <v>5</v>
      </c>
      <c r="F6" s="2">
        <v>66</v>
      </c>
      <c r="G6" s="2">
        <f t="shared" si="0"/>
        <v>462</v>
      </c>
      <c r="H6" s="2">
        <f t="shared" si="1"/>
        <v>4950</v>
      </c>
      <c r="I6" s="2">
        <f t="shared" si="2"/>
        <v>528</v>
      </c>
      <c r="J6" s="2">
        <v>330</v>
      </c>
      <c r="K6" s="2">
        <f t="shared" si="3"/>
        <v>525</v>
      </c>
      <c r="L6" s="2">
        <f t="shared" si="4"/>
        <v>56</v>
      </c>
      <c r="M6" s="2">
        <v>35</v>
      </c>
      <c r="N6" s="2">
        <f t="shared" si="5"/>
        <v>600</v>
      </c>
      <c r="O6" s="2">
        <v>375</v>
      </c>
      <c r="P6" s="2">
        <v>40</v>
      </c>
      <c r="Q6" s="2">
        <f t="shared" si="6"/>
        <v>49</v>
      </c>
      <c r="R6" s="2">
        <f t="shared" si="7"/>
        <v>5625</v>
      </c>
      <c r="S6" s="2">
        <f t="shared" si="8"/>
        <v>64</v>
      </c>
      <c r="T6" s="2">
        <v>25</v>
      </c>
      <c r="U6" s="2">
        <f t="shared" si="12"/>
        <v>65.764141543094667</v>
      </c>
      <c r="V6" s="2">
        <f t="shared" si="9"/>
        <v>-0.23585845690533347</v>
      </c>
      <c r="W6" s="2">
        <f t="shared" si="10"/>
        <v>5.5629211693765043E-2</v>
      </c>
      <c r="X6" s="5">
        <f t="shared" si="11"/>
        <v>3.5736129834141434E-3</v>
      </c>
      <c r="Z6" t="s">
        <v>39</v>
      </c>
      <c r="AA6">
        <f>F52/A51</f>
        <v>56.58</v>
      </c>
      <c r="AC6">
        <v>171</v>
      </c>
      <c r="AD6">
        <v>896</v>
      </c>
      <c r="AE6">
        <v>12299</v>
      </c>
      <c r="AF6">
        <v>1066</v>
      </c>
      <c r="AG6">
        <v>873</v>
      </c>
    </row>
    <row r="7" spans="1:34" x14ac:dyDescent="0.35">
      <c r="A7" s="2">
        <v>6</v>
      </c>
      <c r="B7" s="2">
        <v>3</v>
      </c>
      <c r="C7" s="2">
        <v>78</v>
      </c>
      <c r="D7" s="2">
        <v>9</v>
      </c>
      <c r="E7" s="15">
        <v>6</v>
      </c>
      <c r="F7" s="2">
        <v>61</v>
      </c>
      <c r="G7" s="2">
        <f t="shared" si="0"/>
        <v>183</v>
      </c>
      <c r="H7" s="2">
        <f t="shared" si="1"/>
        <v>4758</v>
      </c>
      <c r="I7" s="2">
        <f t="shared" si="2"/>
        <v>549</v>
      </c>
      <c r="J7" s="2">
        <v>366</v>
      </c>
      <c r="K7" s="2">
        <f t="shared" si="3"/>
        <v>234</v>
      </c>
      <c r="L7" s="2">
        <f t="shared" si="4"/>
        <v>27</v>
      </c>
      <c r="M7" s="2">
        <v>18</v>
      </c>
      <c r="N7" s="2">
        <f t="shared" si="5"/>
        <v>702</v>
      </c>
      <c r="O7" s="2">
        <v>468</v>
      </c>
      <c r="P7" s="2">
        <v>54</v>
      </c>
      <c r="Q7" s="2">
        <f t="shared" si="6"/>
        <v>9</v>
      </c>
      <c r="R7" s="2">
        <f t="shared" si="7"/>
        <v>6084</v>
      </c>
      <c r="S7" s="2">
        <f t="shared" si="8"/>
        <v>81</v>
      </c>
      <c r="T7" s="2">
        <v>36</v>
      </c>
      <c r="U7" s="2">
        <f t="shared" si="12"/>
        <v>57.567447690083547</v>
      </c>
      <c r="V7" s="2">
        <f t="shared" si="9"/>
        <v>-3.4325523099164528</v>
      </c>
      <c r="W7" s="2">
        <f t="shared" si="10"/>
        <v>11.782415360312775</v>
      </c>
      <c r="X7" s="5">
        <f t="shared" si="11"/>
        <v>5.6271349342892671E-2</v>
      </c>
      <c r="Z7" t="s">
        <v>40</v>
      </c>
      <c r="AA7">
        <f>AA8^(1/2)</f>
        <v>2.1559588101518838</v>
      </c>
      <c r="AC7" s="1" t="s">
        <v>49</v>
      </c>
      <c r="AD7" s="1" t="s">
        <v>50</v>
      </c>
      <c r="AE7" s="1" t="s">
        <v>51</v>
      </c>
      <c r="AF7" s="1" t="s">
        <v>52</v>
      </c>
      <c r="AG7" s="1" t="s">
        <v>53</v>
      </c>
    </row>
    <row r="8" spans="1:34" x14ac:dyDescent="0.35">
      <c r="A8" s="2">
        <v>7</v>
      </c>
      <c r="B8" s="2">
        <v>7</v>
      </c>
      <c r="C8" s="2">
        <v>73</v>
      </c>
      <c r="D8" s="2">
        <v>5</v>
      </c>
      <c r="E8" s="15">
        <v>6</v>
      </c>
      <c r="F8" s="2">
        <v>63</v>
      </c>
      <c r="G8" s="2">
        <f t="shared" si="0"/>
        <v>441</v>
      </c>
      <c r="H8" s="2">
        <f t="shared" si="1"/>
        <v>4599</v>
      </c>
      <c r="I8" s="2">
        <f t="shared" si="2"/>
        <v>315</v>
      </c>
      <c r="J8" s="2">
        <v>378</v>
      </c>
      <c r="K8" s="2">
        <f t="shared" si="3"/>
        <v>511</v>
      </c>
      <c r="L8" s="2">
        <f t="shared" si="4"/>
        <v>35</v>
      </c>
      <c r="M8" s="2">
        <v>42</v>
      </c>
      <c r="N8" s="2">
        <f t="shared" si="5"/>
        <v>365</v>
      </c>
      <c r="O8" s="2">
        <v>438</v>
      </c>
      <c r="P8" s="2">
        <v>30</v>
      </c>
      <c r="Q8" s="2">
        <f t="shared" si="6"/>
        <v>49</v>
      </c>
      <c r="R8" s="2">
        <f t="shared" si="7"/>
        <v>5329</v>
      </c>
      <c r="S8" s="2">
        <f t="shared" si="8"/>
        <v>25</v>
      </c>
      <c r="T8" s="2">
        <v>36</v>
      </c>
      <c r="U8" s="2">
        <f t="shared" si="12"/>
        <v>62.446498179927062</v>
      </c>
      <c r="V8" s="2">
        <f t="shared" si="9"/>
        <v>-0.55350182007293824</v>
      </c>
      <c r="W8" s="2">
        <f t="shared" si="10"/>
        <v>0.30636426482405532</v>
      </c>
      <c r="X8" s="5">
        <f t="shared" si="11"/>
        <v>8.7857431757609253E-3</v>
      </c>
      <c r="Z8" t="s">
        <v>41</v>
      </c>
      <c r="AA8">
        <f>W52/50</f>
        <v>4.6481583910715258</v>
      </c>
      <c r="AC8" s="1" t="s">
        <v>50</v>
      </c>
      <c r="AD8" s="1" t="s">
        <v>69</v>
      </c>
      <c r="AE8" s="1" t="s">
        <v>54</v>
      </c>
      <c r="AF8" s="1" t="s">
        <v>58</v>
      </c>
      <c r="AG8" s="1" t="s">
        <v>62</v>
      </c>
    </row>
    <row r="9" spans="1:34" x14ac:dyDescent="0.35">
      <c r="A9" s="2">
        <v>8</v>
      </c>
      <c r="B9" s="2">
        <v>8</v>
      </c>
      <c r="C9" s="2">
        <v>45</v>
      </c>
      <c r="D9" s="2">
        <v>4</v>
      </c>
      <c r="E9" s="15">
        <v>6</v>
      </c>
      <c r="F9" s="2">
        <v>42</v>
      </c>
      <c r="G9" s="2">
        <f t="shared" si="0"/>
        <v>336</v>
      </c>
      <c r="H9" s="2">
        <f t="shared" si="1"/>
        <v>1890</v>
      </c>
      <c r="I9" s="2">
        <f t="shared" si="2"/>
        <v>168</v>
      </c>
      <c r="J9" s="2">
        <v>252</v>
      </c>
      <c r="K9" s="2">
        <f t="shared" si="3"/>
        <v>360</v>
      </c>
      <c r="L9" s="2">
        <f t="shared" si="4"/>
        <v>32</v>
      </c>
      <c r="M9" s="2">
        <v>48</v>
      </c>
      <c r="N9" s="2">
        <f t="shared" si="5"/>
        <v>180</v>
      </c>
      <c r="O9" s="2">
        <v>270</v>
      </c>
      <c r="P9" s="2">
        <v>24</v>
      </c>
      <c r="Q9" s="2">
        <f t="shared" si="6"/>
        <v>64</v>
      </c>
      <c r="R9" s="2">
        <f t="shared" si="7"/>
        <v>2025</v>
      </c>
      <c r="S9" s="2">
        <f t="shared" si="8"/>
        <v>16</v>
      </c>
      <c r="T9" s="2">
        <v>36</v>
      </c>
      <c r="U9" s="2">
        <f t="shared" si="12"/>
        <v>36.511759550584017</v>
      </c>
      <c r="V9" s="2">
        <f t="shared" si="9"/>
        <v>-5.4882404494159829</v>
      </c>
      <c r="W9" s="2">
        <f t="shared" si="10"/>
        <v>30.120783230605749</v>
      </c>
      <c r="X9" s="5">
        <f t="shared" si="11"/>
        <v>0.13067239165276151</v>
      </c>
      <c r="Z9" t="s">
        <v>42</v>
      </c>
      <c r="AA9">
        <f>X52/50</f>
        <v>3.31774259247078E-2</v>
      </c>
      <c r="AC9" s="1" t="s">
        <v>51</v>
      </c>
      <c r="AD9" s="1" t="s">
        <v>66</v>
      </c>
      <c r="AE9" s="1" t="s">
        <v>55</v>
      </c>
      <c r="AF9" s="1" t="s">
        <v>59</v>
      </c>
      <c r="AG9" s="1" t="s">
        <v>63</v>
      </c>
    </row>
    <row r="10" spans="1:34" x14ac:dyDescent="0.35">
      <c r="A10" s="2">
        <v>9</v>
      </c>
      <c r="B10" s="2">
        <v>5</v>
      </c>
      <c r="C10" s="2">
        <v>77</v>
      </c>
      <c r="D10" s="2">
        <v>8</v>
      </c>
      <c r="E10" s="15">
        <v>2</v>
      </c>
      <c r="F10" s="2">
        <v>61</v>
      </c>
      <c r="G10" s="2">
        <f t="shared" si="0"/>
        <v>305</v>
      </c>
      <c r="H10" s="2">
        <f t="shared" si="1"/>
        <v>4697</v>
      </c>
      <c r="I10" s="2">
        <f t="shared" si="2"/>
        <v>488</v>
      </c>
      <c r="J10" s="2">
        <v>122</v>
      </c>
      <c r="K10" s="2">
        <f t="shared" si="3"/>
        <v>385</v>
      </c>
      <c r="L10" s="2">
        <f t="shared" si="4"/>
        <v>40</v>
      </c>
      <c r="M10" s="2">
        <v>10</v>
      </c>
      <c r="N10" s="2">
        <f t="shared" si="5"/>
        <v>616</v>
      </c>
      <c r="O10" s="2">
        <v>154</v>
      </c>
      <c r="P10" s="2">
        <v>16</v>
      </c>
      <c r="Q10" s="2">
        <f t="shared" si="6"/>
        <v>25</v>
      </c>
      <c r="R10" s="2">
        <f t="shared" si="7"/>
        <v>5929</v>
      </c>
      <c r="S10" s="2">
        <f t="shared" si="8"/>
        <v>64</v>
      </c>
      <c r="T10" s="2">
        <v>4</v>
      </c>
      <c r="U10" s="2">
        <f t="shared" si="12"/>
        <v>61.958788674497434</v>
      </c>
      <c r="V10" s="2">
        <f t="shared" si="9"/>
        <v>0.9587886744974341</v>
      </c>
      <c r="W10" s="2">
        <f t="shared" si="10"/>
        <v>0.91927572234454669</v>
      </c>
      <c r="X10" s="5">
        <f t="shared" si="11"/>
        <v>1.5717847122908756E-2</v>
      </c>
      <c r="AC10" s="1" t="s">
        <v>52</v>
      </c>
      <c r="AD10" s="1" t="s">
        <v>67</v>
      </c>
      <c r="AE10" s="1" t="s">
        <v>56</v>
      </c>
      <c r="AF10" s="1" t="s">
        <v>60</v>
      </c>
      <c r="AG10" s="1" t="s">
        <v>64</v>
      </c>
    </row>
    <row r="11" spans="1:34" x14ac:dyDescent="0.35">
      <c r="A11" s="2">
        <v>10</v>
      </c>
      <c r="B11" s="2">
        <v>4</v>
      </c>
      <c r="C11" s="2">
        <v>89</v>
      </c>
      <c r="D11" s="2">
        <v>4</v>
      </c>
      <c r="E11" s="15">
        <v>0</v>
      </c>
      <c r="F11" s="2">
        <v>69</v>
      </c>
      <c r="G11" s="2">
        <f t="shared" si="0"/>
        <v>276</v>
      </c>
      <c r="H11" s="2">
        <f t="shared" si="1"/>
        <v>6141</v>
      </c>
      <c r="I11" s="2">
        <f t="shared" si="2"/>
        <v>276</v>
      </c>
      <c r="J11" s="2">
        <v>0</v>
      </c>
      <c r="K11" s="2">
        <f t="shared" si="3"/>
        <v>356</v>
      </c>
      <c r="L11" s="2">
        <f t="shared" si="4"/>
        <v>16</v>
      </c>
      <c r="M11" s="2">
        <v>0</v>
      </c>
      <c r="N11" s="2">
        <f t="shared" si="5"/>
        <v>356</v>
      </c>
      <c r="O11" s="2">
        <v>0</v>
      </c>
      <c r="P11" s="2">
        <v>0</v>
      </c>
      <c r="Q11" s="2">
        <f t="shared" si="6"/>
        <v>16</v>
      </c>
      <c r="R11" s="2">
        <f t="shared" si="7"/>
        <v>7921</v>
      </c>
      <c r="S11" s="2">
        <f t="shared" si="8"/>
        <v>16</v>
      </c>
      <c r="T11" s="2">
        <v>0</v>
      </c>
      <c r="U11" s="2">
        <f t="shared" si="12"/>
        <v>69.505915498329998</v>
      </c>
      <c r="V11" s="2">
        <f t="shared" si="9"/>
        <v>0.5059154983299976</v>
      </c>
      <c r="W11" s="2">
        <f t="shared" si="10"/>
        <v>0.25595049145048981</v>
      </c>
      <c r="X11" s="5">
        <f t="shared" si="11"/>
        <v>7.3321086714492403E-3</v>
      </c>
      <c r="AC11" s="1" t="s">
        <v>53</v>
      </c>
      <c r="AD11" s="1" t="s">
        <v>68</v>
      </c>
      <c r="AE11" s="1" t="s">
        <v>57</v>
      </c>
      <c r="AF11" s="1" t="s">
        <v>61</v>
      </c>
      <c r="AG11" s="1" t="s">
        <v>65</v>
      </c>
    </row>
    <row r="12" spans="1:34" x14ac:dyDescent="0.35">
      <c r="A12" s="2">
        <v>11</v>
      </c>
      <c r="B12" s="2">
        <v>8</v>
      </c>
      <c r="C12" s="2">
        <v>91</v>
      </c>
      <c r="D12" s="2">
        <v>4</v>
      </c>
      <c r="E12" s="15">
        <v>5</v>
      </c>
      <c r="F12" s="2">
        <v>84</v>
      </c>
      <c r="G12" s="2">
        <f t="shared" si="0"/>
        <v>672</v>
      </c>
      <c r="H12" s="2">
        <f t="shared" si="1"/>
        <v>7644</v>
      </c>
      <c r="I12" s="2">
        <f t="shared" si="2"/>
        <v>336</v>
      </c>
      <c r="J12" s="2">
        <v>420</v>
      </c>
      <c r="K12" s="2">
        <f t="shared" si="3"/>
        <v>728</v>
      </c>
      <c r="L12" s="2">
        <f t="shared" si="4"/>
        <v>32</v>
      </c>
      <c r="M12" s="2">
        <v>40</v>
      </c>
      <c r="N12" s="2">
        <f t="shared" si="5"/>
        <v>364</v>
      </c>
      <c r="O12" s="2">
        <v>455</v>
      </c>
      <c r="P12" s="2">
        <v>20</v>
      </c>
      <c r="Q12" s="2">
        <f t="shared" si="6"/>
        <v>64</v>
      </c>
      <c r="R12" s="2">
        <f t="shared" si="7"/>
        <v>8281</v>
      </c>
      <c r="S12" s="2">
        <f t="shared" si="8"/>
        <v>16</v>
      </c>
      <c r="T12" s="2">
        <v>25</v>
      </c>
      <c r="U12" s="2">
        <f t="shared" si="12"/>
        <v>83.207350488265519</v>
      </c>
      <c r="V12" s="2">
        <f t="shared" si="9"/>
        <v>-0.79264951173448139</v>
      </c>
      <c r="W12" s="2">
        <f t="shared" si="10"/>
        <v>0.62829324845291179</v>
      </c>
      <c r="X12" s="5">
        <f t="shared" si="11"/>
        <v>9.4363037111247789E-3</v>
      </c>
      <c r="Z12" s="9"/>
      <c r="AA12" s="9"/>
      <c r="AB12" s="9"/>
      <c r="AC12" s="9"/>
      <c r="AD12" s="9"/>
      <c r="AE12" s="9"/>
      <c r="AF12" s="9"/>
      <c r="AG12" s="9"/>
      <c r="AH12" s="9"/>
    </row>
    <row r="13" spans="1:34" x14ac:dyDescent="0.35">
      <c r="A13" s="2">
        <v>12</v>
      </c>
      <c r="B13" s="2">
        <v>8</v>
      </c>
      <c r="C13" s="2">
        <v>79</v>
      </c>
      <c r="D13" s="2">
        <v>6</v>
      </c>
      <c r="E13" s="15">
        <v>2</v>
      </c>
      <c r="F13" s="2">
        <v>73</v>
      </c>
      <c r="G13" s="2">
        <f t="shared" si="0"/>
        <v>584</v>
      </c>
      <c r="H13" s="2">
        <f t="shared" si="1"/>
        <v>5767</v>
      </c>
      <c r="I13" s="2">
        <f t="shared" si="2"/>
        <v>438</v>
      </c>
      <c r="J13" s="2">
        <v>146</v>
      </c>
      <c r="K13" s="2">
        <f t="shared" si="3"/>
        <v>632</v>
      </c>
      <c r="L13" s="2">
        <f t="shared" si="4"/>
        <v>48</v>
      </c>
      <c r="M13" s="2">
        <v>16</v>
      </c>
      <c r="N13" s="2">
        <f t="shared" si="5"/>
        <v>474</v>
      </c>
      <c r="O13" s="2">
        <v>158</v>
      </c>
      <c r="P13" s="2">
        <v>12</v>
      </c>
      <c r="Q13" s="2">
        <f t="shared" si="6"/>
        <v>64</v>
      </c>
      <c r="R13" s="2">
        <f t="shared" si="7"/>
        <v>6241</v>
      </c>
      <c r="S13" s="2">
        <f t="shared" si="8"/>
        <v>36</v>
      </c>
      <c r="T13" s="2">
        <v>4</v>
      </c>
      <c r="U13" s="2">
        <f t="shared" si="12"/>
        <v>71.88415883539713</v>
      </c>
      <c r="V13" s="2">
        <f t="shared" si="9"/>
        <v>-1.1158411646028696</v>
      </c>
      <c r="W13" s="2">
        <f t="shared" si="10"/>
        <v>1.2451015046222884</v>
      </c>
      <c r="X13" s="5">
        <f t="shared" si="11"/>
        <v>1.5285495405518762E-2</v>
      </c>
    </row>
    <row r="14" spans="1:34" x14ac:dyDescent="0.35">
      <c r="A14" s="2">
        <v>13</v>
      </c>
      <c r="B14" s="2">
        <v>3</v>
      </c>
      <c r="C14" s="2">
        <v>47</v>
      </c>
      <c r="D14" s="2">
        <v>9</v>
      </c>
      <c r="E14" s="15">
        <v>2</v>
      </c>
      <c r="F14" s="2">
        <v>27</v>
      </c>
      <c r="G14" s="2">
        <f t="shared" si="0"/>
        <v>81</v>
      </c>
      <c r="H14" s="2">
        <f t="shared" si="1"/>
        <v>1269</v>
      </c>
      <c r="I14" s="2">
        <f t="shared" si="2"/>
        <v>243</v>
      </c>
      <c r="J14" s="2">
        <v>54</v>
      </c>
      <c r="K14" s="2">
        <f t="shared" si="3"/>
        <v>141</v>
      </c>
      <c r="L14" s="2">
        <f t="shared" si="4"/>
        <v>27</v>
      </c>
      <c r="M14" s="2">
        <v>6</v>
      </c>
      <c r="N14" s="2">
        <f t="shared" si="5"/>
        <v>423</v>
      </c>
      <c r="O14" s="2">
        <v>94</v>
      </c>
      <c r="P14" s="2">
        <v>18</v>
      </c>
      <c r="Q14" s="2">
        <f t="shared" si="6"/>
        <v>9</v>
      </c>
      <c r="R14" s="2">
        <f t="shared" si="7"/>
        <v>2209</v>
      </c>
      <c r="S14" s="2">
        <f t="shared" si="8"/>
        <v>81</v>
      </c>
      <c r="T14" s="2">
        <v>4</v>
      </c>
      <c r="U14" s="2">
        <f t="shared" si="12"/>
        <v>26.098679884254704</v>
      </c>
      <c r="V14" s="2">
        <f t="shared" si="9"/>
        <v>-0.90132011574529614</v>
      </c>
      <c r="W14" s="2">
        <f t="shared" si="10"/>
        <v>0.81237795104711408</v>
      </c>
      <c r="X14" s="5">
        <f t="shared" si="11"/>
        <v>3.3382226509085039E-2</v>
      </c>
    </row>
    <row r="15" spans="1:34" x14ac:dyDescent="0.35">
      <c r="A15" s="2">
        <v>14</v>
      </c>
      <c r="B15" s="2">
        <v>6</v>
      </c>
      <c r="C15" s="2">
        <v>47</v>
      </c>
      <c r="D15" s="2">
        <v>4</v>
      </c>
      <c r="E15" s="15">
        <v>2</v>
      </c>
      <c r="F15" s="2">
        <v>33</v>
      </c>
      <c r="G15" s="2">
        <f t="shared" si="0"/>
        <v>198</v>
      </c>
      <c r="H15" s="2">
        <f t="shared" si="1"/>
        <v>1551</v>
      </c>
      <c r="I15" s="2">
        <f t="shared" si="2"/>
        <v>132</v>
      </c>
      <c r="J15" s="2">
        <v>66</v>
      </c>
      <c r="K15" s="2">
        <f t="shared" si="3"/>
        <v>282</v>
      </c>
      <c r="L15" s="2">
        <f t="shared" si="4"/>
        <v>24</v>
      </c>
      <c r="M15" s="2">
        <v>12</v>
      </c>
      <c r="N15" s="2">
        <f t="shared" si="5"/>
        <v>188</v>
      </c>
      <c r="O15" s="2">
        <v>94</v>
      </c>
      <c r="P15" s="2">
        <v>8</v>
      </c>
      <c r="Q15" s="2">
        <f t="shared" si="6"/>
        <v>36</v>
      </c>
      <c r="R15" s="2">
        <f t="shared" si="7"/>
        <v>2209</v>
      </c>
      <c r="S15" s="2">
        <f t="shared" si="8"/>
        <v>16</v>
      </c>
      <c r="T15" s="2">
        <v>4</v>
      </c>
      <c r="U15" s="2">
        <f t="shared" si="12"/>
        <v>32.706406681986785</v>
      </c>
      <c r="V15" s="2">
        <f t="shared" si="9"/>
        <v>-0.29359331801321531</v>
      </c>
      <c r="W15" s="2">
        <f t="shared" si="10"/>
        <v>8.6197036382008971E-2</v>
      </c>
      <c r="X15" s="5">
        <f t="shared" si="11"/>
        <v>8.8967672125216755E-3</v>
      </c>
    </row>
    <row r="16" spans="1:34" x14ac:dyDescent="0.35">
      <c r="A16" s="2">
        <v>15</v>
      </c>
      <c r="B16" s="2">
        <v>5</v>
      </c>
      <c r="C16" s="2">
        <v>79</v>
      </c>
      <c r="D16" s="2">
        <v>7</v>
      </c>
      <c r="E16" s="15">
        <v>8</v>
      </c>
      <c r="F16" s="2">
        <v>68</v>
      </c>
      <c r="G16" s="2">
        <f t="shared" si="0"/>
        <v>340</v>
      </c>
      <c r="H16" s="2">
        <f t="shared" si="1"/>
        <v>5372</v>
      </c>
      <c r="I16" s="2">
        <f t="shared" si="2"/>
        <v>476</v>
      </c>
      <c r="J16" s="2">
        <v>544</v>
      </c>
      <c r="K16" s="2">
        <f t="shared" si="3"/>
        <v>395</v>
      </c>
      <c r="L16" s="2">
        <f t="shared" si="4"/>
        <v>35</v>
      </c>
      <c r="M16" s="2">
        <v>40</v>
      </c>
      <c r="N16" s="2">
        <f t="shared" si="5"/>
        <v>553</v>
      </c>
      <c r="O16" s="2">
        <v>632</v>
      </c>
      <c r="P16" s="2">
        <v>56</v>
      </c>
      <c r="Q16" s="2">
        <f t="shared" si="6"/>
        <v>25</v>
      </c>
      <c r="R16" s="2">
        <f t="shared" si="7"/>
        <v>6241</v>
      </c>
      <c r="S16" s="2">
        <f t="shared" si="8"/>
        <v>49</v>
      </c>
      <c r="T16" s="2">
        <v>64</v>
      </c>
      <c r="U16" s="2">
        <f t="shared" si="12"/>
        <v>63.559898332437591</v>
      </c>
      <c r="V16" s="2">
        <f t="shared" si="9"/>
        <v>-4.4401016675624092</v>
      </c>
      <c r="W16" s="2">
        <f t="shared" si="10"/>
        <v>19.714502818290487</v>
      </c>
      <c r="X16" s="5">
        <f t="shared" si="11"/>
        <v>6.5295612758270727E-2</v>
      </c>
    </row>
    <row r="17" spans="1:24" x14ac:dyDescent="0.35">
      <c r="A17" s="2">
        <v>16</v>
      </c>
      <c r="B17" s="2">
        <v>2</v>
      </c>
      <c r="C17" s="2">
        <v>72</v>
      </c>
      <c r="D17" s="2">
        <v>4</v>
      </c>
      <c r="E17" s="15">
        <v>3</v>
      </c>
      <c r="F17" s="2">
        <v>43</v>
      </c>
      <c r="G17" s="2">
        <f t="shared" si="0"/>
        <v>86</v>
      </c>
      <c r="H17" s="2">
        <f t="shared" si="1"/>
        <v>3096</v>
      </c>
      <c r="I17" s="2">
        <f t="shared" si="2"/>
        <v>172</v>
      </c>
      <c r="J17" s="2">
        <v>129</v>
      </c>
      <c r="K17" s="2">
        <f t="shared" si="3"/>
        <v>144</v>
      </c>
      <c r="L17" s="2">
        <f t="shared" si="4"/>
        <v>8</v>
      </c>
      <c r="M17" s="2">
        <v>6</v>
      </c>
      <c r="N17" s="2">
        <f t="shared" si="5"/>
        <v>288</v>
      </c>
      <c r="O17" s="2">
        <v>216</v>
      </c>
      <c r="P17" s="2">
        <v>12</v>
      </c>
      <c r="Q17" s="2">
        <f t="shared" si="6"/>
        <v>4</v>
      </c>
      <c r="R17" s="2">
        <f t="shared" si="7"/>
        <v>5184</v>
      </c>
      <c r="S17" s="2">
        <f t="shared" si="8"/>
        <v>16</v>
      </c>
      <c r="T17" s="2">
        <v>9</v>
      </c>
      <c r="U17" s="2">
        <f t="shared" si="12"/>
        <v>46.413253329386052</v>
      </c>
      <c r="V17" s="2">
        <f t="shared" si="9"/>
        <v>3.4132533293860519</v>
      </c>
      <c r="W17" s="2">
        <f t="shared" si="10"/>
        <v>11.650298290564967</v>
      </c>
      <c r="X17" s="5">
        <f t="shared" si="11"/>
        <v>7.9377984404326793E-2</v>
      </c>
    </row>
    <row r="18" spans="1:24" x14ac:dyDescent="0.35">
      <c r="A18" s="2">
        <v>17</v>
      </c>
      <c r="B18" s="2">
        <v>8</v>
      </c>
      <c r="C18" s="2">
        <v>73</v>
      </c>
      <c r="D18" s="2">
        <v>8</v>
      </c>
      <c r="E18" s="15">
        <v>4</v>
      </c>
      <c r="F18" s="2">
        <v>67</v>
      </c>
      <c r="G18" s="2">
        <f t="shared" si="0"/>
        <v>536</v>
      </c>
      <c r="H18" s="2">
        <f t="shared" si="1"/>
        <v>4891</v>
      </c>
      <c r="I18" s="2">
        <f t="shared" si="2"/>
        <v>536</v>
      </c>
      <c r="J18" s="2">
        <v>268</v>
      </c>
      <c r="K18" s="2">
        <f t="shared" si="3"/>
        <v>584</v>
      </c>
      <c r="L18" s="2">
        <f t="shared" si="4"/>
        <v>64</v>
      </c>
      <c r="M18" s="2">
        <v>32</v>
      </c>
      <c r="N18" s="2">
        <f t="shared" si="5"/>
        <v>584</v>
      </c>
      <c r="O18" s="2">
        <v>292</v>
      </c>
      <c r="P18" s="2">
        <v>32</v>
      </c>
      <c r="Q18" s="2">
        <f t="shared" si="6"/>
        <v>64</v>
      </c>
      <c r="R18" s="2">
        <f t="shared" si="7"/>
        <v>5329</v>
      </c>
      <c r="S18" s="2">
        <f t="shared" si="8"/>
        <v>64</v>
      </c>
      <c r="T18" s="2">
        <v>16</v>
      </c>
      <c r="U18" s="2">
        <f t="shared" si="12"/>
        <v>66.65169643526977</v>
      </c>
      <c r="V18" s="2">
        <f t="shared" si="9"/>
        <v>-0.34830356473023016</v>
      </c>
      <c r="W18" s="2">
        <f t="shared" si="10"/>
        <v>0.12131537320378563</v>
      </c>
      <c r="X18" s="5">
        <f t="shared" si="11"/>
        <v>5.1985606676153758E-3</v>
      </c>
    </row>
    <row r="19" spans="1:24" x14ac:dyDescent="0.35">
      <c r="A19" s="2">
        <v>18</v>
      </c>
      <c r="B19" s="2">
        <v>6</v>
      </c>
      <c r="C19" s="2">
        <v>83</v>
      </c>
      <c r="D19" s="2">
        <v>7</v>
      </c>
      <c r="E19" s="15">
        <v>2</v>
      </c>
      <c r="F19" s="2">
        <v>70</v>
      </c>
      <c r="G19" s="2">
        <f t="shared" si="0"/>
        <v>420</v>
      </c>
      <c r="H19" s="2">
        <f t="shared" si="1"/>
        <v>5810</v>
      </c>
      <c r="I19" s="2">
        <f t="shared" si="2"/>
        <v>490</v>
      </c>
      <c r="J19" s="2">
        <v>140</v>
      </c>
      <c r="K19" s="2">
        <f t="shared" si="3"/>
        <v>498</v>
      </c>
      <c r="L19" s="2">
        <f t="shared" si="4"/>
        <v>42</v>
      </c>
      <c r="M19" s="2">
        <v>12</v>
      </c>
      <c r="N19" s="2">
        <f t="shared" si="5"/>
        <v>581</v>
      </c>
      <c r="O19" s="2">
        <v>166</v>
      </c>
      <c r="P19" s="2">
        <v>14</v>
      </c>
      <c r="Q19" s="2">
        <f t="shared" si="6"/>
        <v>36</v>
      </c>
      <c r="R19" s="2">
        <f t="shared" si="7"/>
        <v>6889</v>
      </c>
      <c r="S19" s="2">
        <f t="shared" si="8"/>
        <v>49</v>
      </c>
      <c r="T19" s="2">
        <v>4</v>
      </c>
      <c r="U19" s="2">
        <f t="shared" si="12"/>
        <v>70.538182477353757</v>
      </c>
      <c r="V19" s="2">
        <f t="shared" si="9"/>
        <v>0.53818247735375735</v>
      </c>
      <c r="W19" s="2">
        <f t="shared" si="10"/>
        <v>0.28964037893062755</v>
      </c>
      <c r="X19" s="5">
        <f t="shared" si="11"/>
        <v>7.6883211050536764E-3</v>
      </c>
    </row>
    <row r="20" spans="1:24" x14ac:dyDescent="0.35">
      <c r="A20" s="2">
        <v>19</v>
      </c>
      <c r="B20" s="2">
        <v>2</v>
      </c>
      <c r="C20" s="2">
        <v>54</v>
      </c>
      <c r="D20" s="2">
        <v>4</v>
      </c>
      <c r="E20" s="15">
        <v>9</v>
      </c>
      <c r="F20" s="2">
        <v>30</v>
      </c>
      <c r="G20" s="2">
        <f t="shared" si="0"/>
        <v>60</v>
      </c>
      <c r="H20" s="2">
        <f t="shared" si="1"/>
        <v>1620</v>
      </c>
      <c r="I20" s="2">
        <f t="shared" si="2"/>
        <v>120</v>
      </c>
      <c r="J20" s="2">
        <v>270</v>
      </c>
      <c r="K20" s="2">
        <f t="shared" si="3"/>
        <v>108</v>
      </c>
      <c r="L20" s="2">
        <f t="shared" si="4"/>
        <v>8</v>
      </c>
      <c r="M20" s="2">
        <v>18</v>
      </c>
      <c r="N20" s="2">
        <f t="shared" si="5"/>
        <v>216</v>
      </c>
      <c r="O20" s="2">
        <v>486</v>
      </c>
      <c r="P20" s="2">
        <v>36</v>
      </c>
      <c r="Q20" s="2">
        <f t="shared" si="6"/>
        <v>4</v>
      </c>
      <c r="R20" s="2">
        <f t="shared" si="7"/>
        <v>2916</v>
      </c>
      <c r="S20" s="2">
        <f t="shared" si="8"/>
        <v>16</v>
      </c>
      <c r="T20" s="2">
        <v>81</v>
      </c>
      <c r="U20" s="2">
        <f t="shared" si="12"/>
        <v>28.141065571162851</v>
      </c>
      <c r="V20" s="2">
        <f t="shared" si="9"/>
        <v>-1.8589344288371485</v>
      </c>
      <c r="W20" s="2">
        <f t="shared" si="10"/>
        <v>3.4556372107160955</v>
      </c>
      <c r="X20" s="5">
        <f t="shared" si="11"/>
        <v>6.1964480961238286E-2</v>
      </c>
    </row>
    <row r="21" spans="1:24" x14ac:dyDescent="0.35">
      <c r="A21" s="2">
        <v>20</v>
      </c>
      <c r="B21" s="2">
        <v>5</v>
      </c>
      <c r="C21" s="2">
        <v>75</v>
      </c>
      <c r="D21" s="2">
        <v>7</v>
      </c>
      <c r="E21" s="15">
        <v>0</v>
      </c>
      <c r="F21" s="2">
        <v>63</v>
      </c>
      <c r="G21" s="2">
        <f t="shared" si="0"/>
        <v>315</v>
      </c>
      <c r="H21" s="2">
        <f t="shared" si="1"/>
        <v>4725</v>
      </c>
      <c r="I21" s="2">
        <f t="shared" si="2"/>
        <v>441</v>
      </c>
      <c r="J21" s="2">
        <v>0</v>
      </c>
      <c r="K21" s="2">
        <f t="shared" si="3"/>
        <v>375</v>
      </c>
      <c r="L21" s="2">
        <f t="shared" si="4"/>
        <v>35</v>
      </c>
      <c r="M21" s="2">
        <v>0</v>
      </c>
      <c r="N21" s="2">
        <f t="shared" si="5"/>
        <v>525</v>
      </c>
      <c r="O21" s="2">
        <v>0</v>
      </c>
      <c r="P21" s="2">
        <v>0</v>
      </c>
      <c r="Q21" s="2">
        <f t="shared" si="6"/>
        <v>25</v>
      </c>
      <c r="R21" s="2">
        <f t="shared" si="7"/>
        <v>5625</v>
      </c>
      <c r="S21" s="2">
        <f t="shared" si="8"/>
        <v>49</v>
      </c>
      <c r="T21" s="2">
        <v>0</v>
      </c>
      <c r="U21" s="2">
        <f t="shared" si="12"/>
        <v>59.499412163943539</v>
      </c>
      <c r="V21" s="2">
        <f t="shared" si="9"/>
        <v>-3.5005878360564608</v>
      </c>
      <c r="W21" s="2">
        <f t="shared" si="10"/>
        <v>12.254115197946454</v>
      </c>
      <c r="X21" s="5">
        <f t="shared" si="11"/>
        <v>5.5564886286610486E-2</v>
      </c>
    </row>
    <row r="22" spans="1:24" x14ac:dyDescent="0.35">
      <c r="A22" s="2">
        <v>21</v>
      </c>
      <c r="B22" s="2">
        <v>1</v>
      </c>
      <c r="C22" s="2">
        <v>99</v>
      </c>
      <c r="D22" s="2">
        <v>4</v>
      </c>
      <c r="E22" s="15">
        <v>3</v>
      </c>
      <c r="F22" s="2">
        <v>71</v>
      </c>
      <c r="G22" s="2">
        <f t="shared" si="0"/>
        <v>71</v>
      </c>
      <c r="H22" s="2">
        <f t="shared" si="1"/>
        <v>7029</v>
      </c>
      <c r="I22" s="2">
        <f t="shared" si="2"/>
        <v>284</v>
      </c>
      <c r="J22" s="2">
        <v>213</v>
      </c>
      <c r="K22" s="2">
        <f t="shared" si="3"/>
        <v>99</v>
      </c>
      <c r="L22" s="2">
        <f t="shared" si="4"/>
        <v>4</v>
      </c>
      <c r="M22" s="2">
        <v>3</v>
      </c>
      <c r="N22" s="2">
        <f t="shared" si="5"/>
        <v>396</v>
      </c>
      <c r="O22" s="2">
        <v>297</v>
      </c>
      <c r="P22" s="2">
        <v>12</v>
      </c>
      <c r="Q22" s="2">
        <f t="shared" si="6"/>
        <v>1</v>
      </c>
      <c r="R22" s="2">
        <f t="shared" si="7"/>
        <v>9801</v>
      </c>
      <c r="S22" s="2">
        <f t="shared" si="8"/>
        <v>16</v>
      </c>
      <c r="T22" s="2">
        <v>9</v>
      </c>
      <c r="U22" s="2">
        <f t="shared" si="12"/>
        <v>70.903736990298711</v>
      </c>
      <c r="V22" s="2">
        <f t="shared" si="9"/>
        <v>-9.6263009701289093E-2</v>
      </c>
      <c r="W22" s="2">
        <f t="shared" si="10"/>
        <v>9.2665670367504775E-3</v>
      </c>
      <c r="X22" s="5">
        <f t="shared" si="11"/>
        <v>1.3558170380463253E-3</v>
      </c>
    </row>
    <row r="23" spans="1:24" x14ac:dyDescent="0.35">
      <c r="A23" s="2">
        <v>22</v>
      </c>
      <c r="B23" s="2">
        <v>6</v>
      </c>
      <c r="C23" s="2">
        <v>96</v>
      </c>
      <c r="D23" s="2">
        <v>9</v>
      </c>
      <c r="E23" s="15">
        <v>0</v>
      </c>
      <c r="F23" s="2">
        <v>85</v>
      </c>
      <c r="G23" s="2">
        <f t="shared" si="0"/>
        <v>510</v>
      </c>
      <c r="H23" s="2">
        <f t="shared" si="1"/>
        <v>8160</v>
      </c>
      <c r="I23" s="2">
        <f t="shared" si="2"/>
        <v>765</v>
      </c>
      <c r="J23" s="2">
        <v>0</v>
      </c>
      <c r="K23" s="2">
        <f t="shared" si="3"/>
        <v>576</v>
      </c>
      <c r="L23" s="2">
        <f t="shared" si="4"/>
        <v>54</v>
      </c>
      <c r="M23" s="2">
        <v>0</v>
      </c>
      <c r="N23" s="2">
        <f t="shared" si="5"/>
        <v>864</v>
      </c>
      <c r="O23" s="2">
        <v>0</v>
      </c>
      <c r="P23" s="2">
        <v>0</v>
      </c>
      <c r="Q23" s="2">
        <f t="shared" si="6"/>
        <v>36</v>
      </c>
      <c r="R23" s="2">
        <f t="shared" si="7"/>
        <v>9216</v>
      </c>
      <c r="S23" s="2">
        <f t="shared" si="8"/>
        <v>81</v>
      </c>
      <c r="T23" s="2">
        <v>0</v>
      </c>
      <c r="U23" s="2">
        <f t="shared" si="12"/>
        <v>84.593029377573146</v>
      </c>
      <c r="V23" s="2">
        <f t="shared" si="9"/>
        <v>-0.40697062242685433</v>
      </c>
      <c r="W23" s="2">
        <f t="shared" si="10"/>
        <v>0.16562508751850122</v>
      </c>
      <c r="X23" s="5">
        <f t="shared" si="11"/>
        <v>4.7878896756100506E-3</v>
      </c>
    </row>
    <row r="24" spans="1:24" x14ac:dyDescent="0.35">
      <c r="A24" s="2">
        <v>23</v>
      </c>
      <c r="B24" s="2">
        <v>9</v>
      </c>
      <c r="C24" s="2">
        <v>74</v>
      </c>
      <c r="D24" s="2">
        <v>7</v>
      </c>
      <c r="E24" s="15">
        <v>6</v>
      </c>
      <c r="F24" s="2">
        <v>73</v>
      </c>
      <c r="G24" s="2">
        <f t="shared" si="0"/>
        <v>657</v>
      </c>
      <c r="H24" s="2">
        <f t="shared" si="1"/>
        <v>5402</v>
      </c>
      <c r="I24" s="2">
        <f t="shared" si="2"/>
        <v>511</v>
      </c>
      <c r="J24" s="2">
        <v>438</v>
      </c>
      <c r="K24" s="2">
        <f t="shared" si="3"/>
        <v>666</v>
      </c>
      <c r="L24" s="2">
        <f t="shared" si="4"/>
        <v>63</v>
      </c>
      <c r="M24" s="2">
        <v>54</v>
      </c>
      <c r="N24" s="2">
        <f t="shared" si="5"/>
        <v>518</v>
      </c>
      <c r="O24" s="2">
        <v>444</v>
      </c>
      <c r="P24" s="2">
        <v>42</v>
      </c>
      <c r="Q24" s="2">
        <f t="shared" si="6"/>
        <v>81</v>
      </c>
      <c r="R24" s="2">
        <f t="shared" si="7"/>
        <v>5476</v>
      </c>
      <c r="S24" s="2">
        <f t="shared" si="8"/>
        <v>49</v>
      </c>
      <c r="T24" s="2">
        <v>36</v>
      </c>
      <c r="U24" s="2">
        <f t="shared" si="12"/>
        <v>70.155482527508553</v>
      </c>
      <c r="V24" s="2">
        <f t="shared" si="9"/>
        <v>-2.8445174724914466</v>
      </c>
      <c r="W24" s="2">
        <f t="shared" si="10"/>
        <v>8.0912796513091276</v>
      </c>
      <c r="X24" s="5">
        <f t="shared" si="11"/>
        <v>3.8965992773855436E-2</v>
      </c>
    </row>
    <row r="25" spans="1:24" x14ac:dyDescent="0.35">
      <c r="A25" s="2">
        <v>24</v>
      </c>
      <c r="B25" s="2">
        <v>1</v>
      </c>
      <c r="C25" s="2">
        <v>85</v>
      </c>
      <c r="D25" s="2">
        <v>5</v>
      </c>
      <c r="E25" s="15">
        <v>6</v>
      </c>
      <c r="F25" s="2">
        <v>57</v>
      </c>
      <c r="G25" s="2">
        <f t="shared" si="0"/>
        <v>57</v>
      </c>
      <c r="H25" s="2">
        <f t="shared" si="1"/>
        <v>4845</v>
      </c>
      <c r="I25" s="2">
        <f t="shared" si="2"/>
        <v>285</v>
      </c>
      <c r="J25" s="2">
        <v>342</v>
      </c>
      <c r="K25" s="2">
        <f t="shared" si="3"/>
        <v>85</v>
      </c>
      <c r="L25" s="2">
        <f t="shared" si="4"/>
        <v>5</v>
      </c>
      <c r="M25" s="2">
        <v>6</v>
      </c>
      <c r="N25" s="2">
        <f t="shared" si="5"/>
        <v>425</v>
      </c>
      <c r="O25" s="2">
        <v>510</v>
      </c>
      <c r="P25" s="2">
        <v>30</v>
      </c>
      <c r="Q25" s="2">
        <f t="shared" si="6"/>
        <v>1</v>
      </c>
      <c r="R25" s="2">
        <f t="shared" si="7"/>
        <v>7225</v>
      </c>
      <c r="S25" s="2">
        <f t="shared" si="8"/>
        <v>25</v>
      </c>
      <c r="T25" s="2">
        <v>36</v>
      </c>
      <c r="U25" s="2">
        <f t="shared" si="12"/>
        <v>57.121168826876428</v>
      </c>
      <c r="V25" s="2">
        <f t="shared" si="9"/>
        <v>0.12116882687642772</v>
      </c>
      <c r="W25" s="2">
        <f t="shared" si="10"/>
        <v>1.4681884606609711E-2</v>
      </c>
      <c r="X25" s="5">
        <f t="shared" si="11"/>
        <v>2.1257688925689073E-3</v>
      </c>
    </row>
    <row r="26" spans="1:24" x14ac:dyDescent="0.35">
      <c r="A26" s="2">
        <v>25</v>
      </c>
      <c r="B26" s="2">
        <v>3</v>
      </c>
      <c r="C26" s="2">
        <v>61</v>
      </c>
      <c r="D26" s="2">
        <v>6</v>
      </c>
      <c r="E26" s="15">
        <v>3</v>
      </c>
      <c r="F26" s="2">
        <v>35</v>
      </c>
      <c r="G26" s="2">
        <f t="shared" si="0"/>
        <v>105</v>
      </c>
      <c r="H26" s="2">
        <f t="shared" si="1"/>
        <v>2135</v>
      </c>
      <c r="I26" s="2">
        <f t="shared" si="2"/>
        <v>210</v>
      </c>
      <c r="J26" s="2">
        <v>105</v>
      </c>
      <c r="K26" s="2">
        <f t="shared" si="3"/>
        <v>183</v>
      </c>
      <c r="L26" s="2">
        <f t="shared" si="4"/>
        <v>18</v>
      </c>
      <c r="M26" s="2">
        <v>9</v>
      </c>
      <c r="N26" s="2">
        <f t="shared" si="5"/>
        <v>366</v>
      </c>
      <c r="O26" s="2">
        <v>183</v>
      </c>
      <c r="P26" s="2">
        <v>18</v>
      </c>
      <c r="Q26" s="2">
        <f t="shared" si="6"/>
        <v>9</v>
      </c>
      <c r="R26" s="2">
        <f t="shared" si="7"/>
        <v>3721</v>
      </c>
      <c r="S26" s="2">
        <f t="shared" si="8"/>
        <v>36</v>
      </c>
      <c r="T26" s="2">
        <v>9</v>
      </c>
      <c r="U26" s="2">
        <f t="shared" si="12"/>
        <v>39.022981195063274</v>
      </c>
      <c r="V26" s="2">
        <f t="shared" si="9"/>
        <v>4.0229811950632737</v>
      </c>
      <c r="W26" s="2">
        <f t="shared" si="10"/>
        <v>16.184377695832726</v>
      </c>
      <c r="X26" s="5">
        <f t="shared" si="11"/>
        <v>0.11494231985895068</v>
      </c>
    </row>
    <row r="27" spans="1:24" x14ac:dyDescent="0.35">
      <c r="A27" s="2">
        <v>26</v>
      </c>
      <c r="B27" s="2">
        <v>7</v>
      </c>
      <c r="C27" s="2">
        <v>62</v>
      </c>
      <c r="D27" s="2">
        <v>7</v>
      </c>
      <c r="E27" s="15">
        <v>4</v>
      </c>
      <c r="F27" s="2">
        <v>49</v>
      </c>
      <c r="G27" s="2">
        <f t="shared" si="0"/>
        <v>343</v>
      </c>
      <c r="H27" s="2">
        <f t="shared" si="1"/>
        <v>3038</v>
      </c>
      <c r="I27" s="2">
        <f t="shared" si="2"/>
        <v>343</v>
      </c>
      <c r="J27" s="2">
        <v>196</v>
      </c>
      <c r="K27" s="2">
        <f t="shared" si="3"/>
        <v>434</v>
      </c>
      <c r="L27" s="2">
        <f t="shared" si="4"/>
        <v>49</v>
      </c>
      <c r="M27" s="2">
        <v>28</v>
      </c>
      <c r="N27" s="2">
        <f t="shared" si="5"/>
        <v>434</v>
      </c>
      <c r="O27" s="2">
        <v>248</v>
      </c>
      <c r="P27" s="2">
        <v>28</v>
      </c>
      <c r="Q27" s="2">
        <f t="shared" si="6"/>
        <v>49</v>
      </c>
      <c r="R27" s="2">
        <f t="shared" si="7"/>
        <v>3844</v>
      </c>
      <c r="S27" s="2">
        <f t="shared" si="8"/>
        <v>49</v>
      </c>
      <c r="T27" s="2">
        <v>16</v>
      </c>
      <c r="U27" s="2">
        <f t="shared" si="12"/>
        <v>52.138428069182162</v>
      </c>
      <c r="V27" s="2">
        <f t="shared" si="9"/>
        <v>3.1384280691821616</v>
      </c>
      <c r="W27" s="2">
        <f t="shared" si="10"/>
        <v>9.8497307454304703</v>
      </c>
      <c r="X27" s="5">
        <f t="shared" si="11"/>
        <v>6.4049552432289006E-2</v>
      </c>
    </row>
    <row r="28" spans="1:24" x14ac:dyDescent="0.35">
      <c r="A28" s="2">
        <v>27</v>
      </c>
      <c r="B28" s="2">
        <v>4</v>
      </c>
      <c r="C28" s="2">
        <v>79</v>
      </c>
      <c r="D28" s="2">
        <v>8</v>
      </c>
      <c r="E28" s="15">
        <v>9</v>
      </c>
      <c r="F28" s="2">
        <v>66</v>
      </c>
      <c r="G28" s="2">
        <f t="shared" si="0"/>
        <v>264</v>
      </c>
      <c r="H28" s="2">
        <f t="shared" si="1"/>
        <v>5214</v>
      </c>
      <c r="I28" s="2">
        <f t="shared" si="2"/>
        <v>528</v>
      </c>
      <c r="J28" s="2">
        <v>594</v>
      </c>
      <c r="K28" s="2">
        <f t="shared" si="3"/>
        <v>316</v>
      </c>
      <c r="L28" s="2">
        <f t="shared" si="4"/>
        <v>32</v>
      </c>
      <c r="M28" s="2">
        <v>36</v>
      </c>
      <c r="N28" s="2">
        <f t="shared" si="5"/>
        <v>632</v>
      </c>
      <c r="O28" s="2">
        <v>711</v>
      </c>
      <c r="P28" s="2">
        <v>72</v>
      </c>
      <c r="Q28" s="2">
        <f t="shared" si="6"/>
        <v>16</v>
      </c>
      <c r="R28" s="2">
        <f t="shared" si="7"/>
        <v>6241</v>
      </c>
      <c r="S28" s="2">
        <f t="shared" si="8"/>
        <v>64</v>
      </c>
      <c r="T28" s="2">
        <v>81</v>
      </c>
      <c r="U28" s="2">
        <f t="shared" si="12"/>
        <v>61.071233782322331</v>
      </c>
      <c r="V28" s="2">
        <f t="shared" si="9"/>
        <v>-4.9287662176776692</v>
      </c>
      <c r="W28" s="2">
        <f t="shared" si="10"/>
        <v>24.292736428520637</v>
      </c>
      <c r="X28" s="5">
        <f t="shared" si="11"/>
        <v>7.4678276025419224E-2</v>
      </c>
    </row>
    <row r="29" spans="1:24" x14ac:dyDescent="0.35">
      <c r="A29" s="2">
        <v>28</v>
      </c>
      <c r="B29" s="2">
        <v>9</v>
      </c>
      <c r="C29" s="2">
        <v>84</v>
      </c>
      <c r="D29" s="2">
        <v>6</v>
      </c>
      <c r="E29" s="15">
        <v>6</v>
      </c>
      <c r="F29" s="2">
        <v>83</v>
      </c>
      <c r="G29" s="2">
        <f t="shared" si="0"/>
        <v>747</v>
      </c>
      <c r="H29" s="2">
        <f t="shared" si="1"/>
        <v>6972</v>
      </c>
      <c r="I29" s="2">
        <f t="shared" si="2"/>
        <v>498</v>
      </c>
      <c r="J29" s="2">
        <v>498</v>
      </c>
      <c r="K29" s="2">
        <f t="shared" si="3"/>
        <v>756</v>
      </c>
      <c r="L29" s="2">
        <f t="shared" si="4"/>
        <v>54</v>
      </c>
      <c r="M29" s="2">
        <v>54</v>
      </c>
      <c r="N29" s="2">
        <f t="shared" si="5"/>
        <v>504</v>
      </c>
      <c r="O29" s="2">
        <v>504</v>
      </c>
      <c r="P29" s="2">
        <v>36</v>
      </c>
      <c r="Q29" s="2">
        <f t="shared" si="6"/>
        <v>81</v>
      </c>
      <c r="R29" s="2">
        <f t="shared" si="7"/>
        <v>7056</v>
      </c>
      <c r="S29" s="2">
        <f t="shared" si="8"/>
        <v>36</v>
      </c>
      <c r="T29" s="2">
        <v>36</v>
      </c>
      <c r="U29" s="2">
        <f t="shared" si="12"/>
        <v>79.877564522436799</v>
      </c>
      <c r="V29" s="2">
        <f t="shared" si="9"/>
        <v>-3.1224354775632008</v>
      </c>
      <c r="W29" s="2">
        <f t="shared" si="10"/>
        <v>9.749603311545334</v>
      </c>
      <c r="X29" s="5">
        <f t="shared" si="11"/>
        <v>3.7619704548954226E-2</v>
      </c>
    </row>
    <row r="30" spans="1:24" x14ac:dyDescent="0.35">
      <c r="A30" s="2">
        <v>29</v>
      </c>
      <c r="B30" s="2">
        <v>3</v>
      </c>
      <c r="C30" s="2">
        <v>94</v>
      </c>
      <c r="D30" s="2">
        <v>6</v>
      </c>
      <c r="E30" s="15">
        <v>5</v>
      </c>
      <c r="F30" s="2">
        <v>74</v>
      </c>
      <c r="G30" s="2">
        <f t="shared" si="0"/>
        <v>222</v>
      </c>
      <c r="H30" s="2">
        <f t="shared" si="1"/>
        <v>6956</v>
      </c>
      <c r="I30" s="2">
        <f t="shared" si="2"/>
        <v>444</v>
      </c>
      <c r="J30" s="2">
        <v>370</v>
      </c>
      <c r="K30" s="2">
        <f t="shared" si="3"/>
        <v>282</v>
      </c>
      <c r="L30" s="2">
        <f t="shared" si="4"/>
        <v>18</v>
      </c>
      <c r="M30" s="2">
        <v>15</v>
      </c>
      <c r="N30" s="2">
        <f t="shared" si="5"/>
        <v>564</v>
      </c>
      <c r="O30" s="2">
        <v>470</v>
      </c>
      <c r="P30" s="2">
        <v>30</v>
      </c>
      <c r="Q30" s="2">
        <f t="shared" si="6"/>
        <v>9</v>
      </c>
      <c r="R30" s="2">
        <f t="shared" si="7"/>
        <v>8836</v>
      </c>
      <c r="S30" s="2">
        <f t="shared" si="8"/>
        <v>36</v>
      </c>
      <c r="T30" s="2">
        <v>25</v>
      </c>
      <c r="U30" s="2">
        <f t="shared" si="12"/>
        <v>72.521992085139146</v>
      </c>
      <c r="V30" s="2">
        <f t="shared" si="9"/>
        <v>-1.4780079148608536</v>
      </c>
      <c r="W30" s="2">
        <f t="shared" si="10"/>
        <v>2.1845073963913282</v>
      </c>
      <c r="X30" s="5">
        <f t="shared" si="11"/>
        <v>1.9973079930552074E-2</v>
      </c>
    </row>
    <row r="31" spans="1:24" x14ac:dyDescent="0.35">
      <c r="A31" s="2">
        <v>30</v>
      </c>
      <c r="B31" s="2">
        <v>5</v>
      </c>
      <c r="C31" s="2">
        <v>90</v>
      </c>
      <c r="D31" s="2">
        <v>4</v>
      </c>
      <c r="E31" s="15">
        <v>3</v>
      </c>
      <c r="F31" s="2">
        <v>74</v>
      </c>
      <c r="G31" s="2">
        <f t="shared" si="0"/>
        <v>370</v>
      </c>
      <c r="H31" s="2">
        <f t="shared" si="1"/>
        <v>6660</v>
      </c>
      <c r="I31" s="2">
        <f t="shared" si="2"/>
        <v>296</v>
      </c>
      <c r="J31" s="2">
        <v>222</v>
      </c>
      <c r="K31" s="2">
        <f t="shared" si="3"/>
        <v>450</v>
      </c>
      <c r="L31" s="2">
        <f t="shared" si="4"/>
        <v>20</v>
      </c>
      <c r="M31" s="2">
        <v>15</v>
      </c>
      <c r="N31" s="2">
        <f t="shared" si="5"/>
        <v>360</v>
      </c>
      <c r="O31" s="2">
        <v>270</v>
      </c>
      <c r="P31" s="2">
        <v>12</v>
      </c>
      <c r="Q31" s="2">
        <f t="shared" si="6"/>
        <v>25</v>
      </c>
      <c r="R31" s="2">
        <f t="shared" si="7"/>
        <v>8100</v>
      </c>
      <c r="S31" s="2">
        <f t="shared" si="8"/>
        <v>16</v>
      </c>
      <c r="T31" s="2">
        <v>9</v>
      </c>
      <c r="U31" s="2">
        <f t="shared" si="12"/>
        <v>73.438835016875629</v>
      </c>
      <c r="V31" s="2">
        <f t="shared" si="9"/>
        <v>-0.56116498312437102</v>
      </c>
      <c r="W31" s="2">
        <f t="shared" si="10"/>
        <v>0.3149061382849756</v>
      </c>
      <c r="X31" s="5">
        <f t="shared" si="11"/>
        <v>7.5833105827617705E-3</v>
      </c>
    </row>
    <row r="32" spans="1:24" x14ac:dyDescent="0.35">
      <c r="A32" s="2">
        <v>31</v>
      </c>
      <c r="B32" s="2">
        <v>3</v>
      </c>
      <c r="C32" s="2">
        <v>61</v>
      </c>
      <c r="D32" s="2">
        <v>7</v>
      </c>
      <c r="E32" s="15">
        <v>3</v>
      </c>
      <c r="F32" s="2">
        <v>39</v>
      </c>
      <c r="G32" s="2">
        <f t="shared" si="0"/>
        <v>117</v>
      </c>
      <c r="H32" s="2">
        <f t="shared" si="1"/>
        <v>2379</v>
      </c>
      <c r="I32" s="2">
        <f t="shared" si="2"/>
        <v>273</v>
      </c>
      <c r="J32" s="2">
        <v>117</v>
      </c>
      <c r="K32" s="2">
        <f t="shared" si="3"/>
        <v>183</v>
      </c>
      <c r="L32" s="2">
        <f t="shared" si="4"/>
        <v>21</v>
      </c>
      <c r="M32" s="2">
        <v>9</v>
      </c>
      <c r="N32" s="2">
        <f t="shared" si="5"/>
        <v>427</v>
      </c>
      <c r="O32" s="2">
        <v>183</v>
      </c>
      <c r="P32" s="2">
        <v>21</v>
      </c>
      <c r="Q32" s="2">
        <f t="shared" si="6"/>
        <v>9</v>
      </c>
      <c r="R32" s="2">
        <f t="shared" si="7"/>
        <v>3721</v>
      </c>
      <c r="S32" s="2">
        <f t="shared" si="8"/>
        <v>49</v>
      </c>
      <c r="T32" s="2">
        <v>9</v>
      </c>
      <c r="U32" s="2">
        <f t="shared" si="12"/>
        <v>39.452114621370136</v>
      </c>
      <c r="V32" s="2">
        <f t="shared" si="9"/>
        <v>0.45211462137013569</v>
      </c>
      <c r="W32" s="2">
        <f t="shared" si="10"/>
        <v>0.20440763085666117</v>
      </c>
      <c r="X32" s="5">
        <f t="shared" si="11"/>
        <v>1.1592682599234249E-2</v>
      </c>
    </row>
    <row r="33" spans="1:24" x14ac:dyDescent="0.35">
      <c r="A33" s="2">
        <v>32</v>
      </c>
      <c r="B33" s="2">
        <v>7</v>
      </c>
      <c r="C33" s="2">
        <v>44</v>
      </c>
      <c r="D33" s="2">
        <v>9</v>
      </c>
      <c r="E33" s="15">
        <v>1</v>
      </c>
      <c r="F33" s="2">
        <v>36</v>
      </c>
      <c r="G33" s="2">
        <f t="shared" si="0"/>
        <v>252</v>
      </c>
      <c r="H33" s="2">
        <f t="shared" si="1"/>
        <v>1584</v>
      </c>
      <c r="I33" s="2">
        <f t="shared" si="2"/>
        <v>324</v>
      </c>
      <c r="J33" s="2">
        <v>36</v>
      </c>
      <c r="K33" s="2">
        <f t="shared" si="3"/>
        <v>308</v>
      </c>
      <c r="L33" s="2">
        <f t="shared" si="4"/>
        <v>63</v>
      </c>
      <c r="M33" s="2">
        <v>7</v>
      </c>
      <c r="N33" s="2">
        <f t="shared" si="5"/>
        <v>396</v>
      </c>
      <c r="O33" s="2">
        <v>44</v>
      </c>
      <c r="P33" s="2">
        <v>9</v>
      </c>
      <c r="Q33" s="2">
        <f t="shared" si="6"/>
        <v>49</v>
      </c>
      <c r="R33" s="2">
        <f t="shared" si="7"/>
        <v>1936</v>
      </c>
      <c r="S33" s="2">
        <f t="shared" si="8"/>
        <v>81</v>
      </c>
      <c r="T33" s="2">
        <v>1</v>
      </c>
      <c r="U33" s="2">
        <f t="shared" si="12"/>
        <v>34.724507163572682</v>
      </c>
      <c r="V33" s="2">
        <f t="shared" si="9"/>
        <v>-1.2754928364273184</v>
      </c>
      <c r="W33" s="2">
        <f t="shared" si="10"/>
        <v>1.626881975777406</v>
      </c>
      <c r="X33" s="5">
        <f t="shared" si="11"/>
        <v>3.5430356567425512E-2</v>
      </c>
    </row>
    <row r="34" spans="1:24" x14ac:dyDescent="0.35">
      <c r="A34" s="2">
        <v>33</v>
      </c>
      <c r="B34" s="2">
        <v>5</v>
      </c>
      <c r="C34" s="2">
        <v>70</v>
      </c>
      <c r="D34" s="2">
        <v>6</v>
      </c>
      <c r="E34" s="15">
        <v>9</v>
      </c>
      <c r="F34" s="2">
        <v>58</v>
      </c>
      <c r="G34" s="2">
        <f t="shared" ref="G34:G51" si="13">B34*F34</f>
        <v>290</v>
      </c>
      <c r="H34" s="2">
        <f t="shared" ref="H34:H51" si="14">C34*F34</f>
        <v>4060</v>
      </c>
      <c r="I34" s="2">
        <f t="shared" ref="I34:I51" si="15">D34*F34</f>
        <v>348</v>
      </c>
      <c r="J34" s="2">
        <v>522</v>
      </c>
      <c r="K34" s="2">
        <f t="shared" ref="K34:K51" si="16">B34*C34</f>
        <v>350</v>
      </c>
      <c r="L34" s="2">
        <f t="shared" ref="L34:L51" si="17">B34*D34</f>
        <v>30</v>
      </c>
      <c r="M34" s="2">
        <v>45</v>
      </c>
      <c r="N34" s="2">
        <f t="shared" ref="N34:N51" si="18">C34*D34</f>
        <v>420</v>
      </c>
      <c r="O34" s="2">
        <v>630</v>
      </c>
      <c r="P34" s="2">
        <v>54</v>
      </c>
      <c r="Q34" s="2">
        <f t="shared" ref="Q34:Q51" si="19">B34^2</f>
        <v>25</v>
      </c>
      <c r="R34" s="2">
        <f t="shared" ref="R34:R51" si="20">C34^2</f>
        <v>4900</v>
      </c>
      <c r="S34" s="2">
        <f t="shared" ref="S34:S51" si="21">D34^2</f>
        <v>36</v>
      </c>
      <c r="T34" s="2">
        <v>81</v>
      </c>
      <c r="U34" s="2">
        <f t="shared" si="12"/>
        <v>53.99467102701913</v>
      </c>
      <c r="V34" s="2">
        <f t="shared" ref="V34:V51" si="22">U34-F34</f>
        <v>-4.0053289729808697</v>
      </c>
      <c r="W34" s="2">
        <f t="shared" ref="W34:W51" si="23">V34^2</f>
        <v>16.042660181799988</v>
      </c>
      <c r="X34" s="5">
        <f t="shared" ref="X34:X51" si="24">ABS((F34-U34)/F34)</f>
        <v>6.9057396085877062E-2</v>
      </c>
    </row>
    <row r="35" spans="1:24" x14ac:dyDescent="0.35">
      <c r="A35" s="2">
        <v>34</v>
      </c>
      <c r="B35" s="2">
        <v>9</v>
      </c>
      <c r="C35" s="2">
        <v>52</v>
      </c>
      <c r="D35" s="2">
        <v>8</v>
      </c>
      <c r="E35" s="15">
        <v>1</v>
      </c>
      <c r="F35" s="2">
        <v>47</v>
      </c>
      <c r="G35" s="2">
        <f t="shared" si="13"/>
        <v>423</v>
      </c>
      <c r="H35" s="2">
        <f t="shared" si="14"/>
        <v>2444</v>
      </c>
      <c r="I35" s="2">
        <f t="shared" si="15"/>
        <v>376</v>
      </c>
      <c r="J35" s="2">
        <v>47</v>
      </c>
      <c r="K35" s="2">
        <f t="shared" si="16"/>
        <v>468</v>
      </c>
      <c r="L35" s="2">
        <f t="shared" si="17"/>
        <v>72</v>
      </c>
      <c r="M35" s="2">
        <v>9</v>
      </c>
      <c r="N35" s="2">
        <f t="shared" si="18"/>
        <v>416</v>
      </c>
      <c r="O35" s="2">
        <v>52</v>
      </c>
      <c r="P35" s="2">
        <v>8</v>
      </c>
      <c r="Q35" s="2">
        <f t="shared" si="19"/>
        <v>81</v>
      </c>
      <c r="R35" s="2">
        <f t="shared" si="20"/>
        <v>2704</v>
      </c>
      <c r="S35" s="2">
        <f t="shared" si="21"/>
        <v>64</v>
      </c>
      <c r="T35" s="2">
        <v>1</v>
      </c>
      <c r="U35" s="2">
        <f t="shared" si="12"/>
        <v>48.251942027098167</v>
      </c>
      <c r="V35" s="2">
        <f t="shared" si="22"/>
        <v>1.2519420270981669</v>
      </c>
      <c r="W35" s="2">
        <f t="shared" si="23"/>
        <v>1.5673588392146673</v>
      </c>
      <c r="X35" s="5">
        <f t="shared" si="24"/>
        <v>2.6637064406343978E-2</v>
      </c>
    </row>
    <row r="36" spans="1:24" x14ac:dyDescent="0.35">
      <c r="A36" s="2">
        <v>35</v>
      </c>
      <c r="B36" s="2">
        <v>7</v>
      </c>
      <c r="C36" s="2">
        <v>67</v>
      </c>
      <c r="D36" s="2">
        <v>9</v>
      </c>
      <c r="E36" s="15">
        <v>3</v>
      </c>
      <c r="F36" s="2">
        <v>60</v>
      </c>
      <c r="G36" s="2">
        <f t="shared" si="13"/>
        <v>420</v>
      </c>
      <c r="H36" s="2">
        <f t="shared" si="14"/>
        <v>4020</v>
      </c>
      <c r="I36" s="2">
        <f t="shared" si="15"/>
        <v>540</v>
      </c>
      <c r="J36" s="2">
        <v>180</v>
      </c>
      <c r="K36" s="2">
        <f t="shared" si="16"/>
        <v>469</v>
      </c>
      <c r="L36" s="2">
        <f t="shared" si="17"/>
        <v>63</v>
      </c>
      <c r="M36" s="2">
        <v>21</v>
      </c>
      <c r="N36" s="2">
        <f t="shared" si="18"/>
        <v>603</v>
      </c>
      <c r="O36" s="2">
        <v>201</v>
      </c>
      <c r="P36" s="2">
        <v>27</v>
      </c>
      <c r="Q36" s="2">
        <f t="shared" si="19"/>
        <v>49</v>
      </c>
      <c r="R36" s="2">
        <f t="shared" si="20"/>
        <v>4489</v>
      </c>
      <c r="S36" s="2">
        <f t="shared" si="21"/>
        <v>81</v>
      </c>
      <c r="T36" s="2">
        <v>9</v>
      </c>
      <c r="U36" s="2">
        <f t="shared" si="12"/>
        <v>58.072302632413432</v>
      </c>
      <c r="V36" s="2">
        <f t="shared" si="22"/>
        <v>-1.9276973675865676</v>
      </c>
      <c r="W36" s="2">
        <f t="shared" si="23"/>
        <v>3.7160171410001825</v>
      </c>
      <c r="X36" s="5">
        <f t="shared" si="24"/>
        <v>3.2128289459776124E-2</v>
      </c>
    </row>
    <row r="37" spans="1:24" x14ac:dyDescent="0.35">
      <c r="A37" s="2">
        <v>36</v>
      </c>
      <c r="B37" s="2">
        <v>2</v>
      </c>
      <c r="C37" s="2">
        <v>97</v>
      </c>
      <c r="D37" s="2">
        <v>9</v>
      </c>
      <c r="E37" s="15">
        <v>4</v>
      </c>
      <c r="F37" s="2">
        <v>74</v>
      </c>
      <c r="G37" s="2">
        <f t="shared" si="13"/>
        <v>148</v>
      </c>
      <c r="H37" s="2">
        <f t="shared" si="14"/>
        <v>7178</v>
      </c>
      <c r="I37" s="2">
        <f t="shared" si="15"/>
        <v>666</v>
      </c>
      <c r="J37" s="2">
        <v>296</v>
      </c>
      <c r="K37" s="2">
        <f t="shared" si="16"/>
        <v>194</v>
      </c>
      <c r="L37" s="2">
        <f t="shared" si="17"/>
        <v>18</v>
      </c>
      <c r="M37" s="2">
        <v>8</v>
      </c>
      <c r="N37" s="2">
        <f t="shared" si="18"/>
        <v>873</v>
      </c>
      <c r="O37" s="2">
        <v>388</v>
      </c>
      <c r="P37" s="2">
        <v>36</v>
      </c>
      <c r="Q37" s="2">
        <f t="shared" si="19"/>
        <v>4</v>
      </c>
      <c r="R37" s="2">
        <f t="shared" si="20"/>
        <v>9409</v>
      </c>
      <c r="S37" s="2">
        <f t="shared" si="21"/>
        <v>81</v>
      </c>
      <c r="T37" s="2">
        <v>16</v>
      </c>
      <c r="U37" s="2">
        <f t="shared" si="12"/>
        <v>73.936959014008139</v>
      </c>
      <c r="V37" s="2">
        <f t="shared" si="22"/>
        <v>-6.3040985991861476E-2</v>
      </c>
      <c r="W37" s="2">
        <f t="shared" si="23"/>
        <v>3.9741659148260751E-3</v>
      </c>
      <c r="X37" s="5">
        <f t="shared" si="24"/>
        <v>8.5190521610623612E-4</v>
      </c>
    </row>
    <row r="38" spans="1:24" x14ac:dyDescent="0.35">
      <c r="A38" s="2">
        <v>37</v>
      </c>
      <c r="B38" s="2">
        <v>4</v>
      </c>
      <c r="C38" s="2">
        <v>59</v>
      </c>
      <c r="D38" s="2">
        <v>8</v>
      </c>
      <c r="E38" s="15">
        <v>3</v>
      </c>
      <c r="F38" s="2">
        <v>42</v>
      </c>
      <c r="G38" s="2">
        <f t="shared" si="13"/>
        <v>168</v>
      </c>
      <c r="H38" s="2">
        <f t="shared" si="14"/>
        <v>2478</v>
      </c>
      <c r="I38" s="2">
        <f t="shared" si="15"/>
        <v>336</v>
      </c>
      <c r="J38" s="2">
        <v>126</v>
      </c>
      <c r="K38" s="2">
        <f t="shared" si="16"/>
        <v>236</v>
      </c>
      <c r="L38" s="2">
        <f t="shared" si="17"/>
        <v>32</v>
      </c>
      <c r="M38" s="2">
        <v>12</v>
      </c>
      <c r="N38" s="2">
        <f t="shared" si="18"/>
        <v>472</v>
      </c>
      <c r="O38" s="2">
        <v>177</v>
      </c>
      <c r="P38" s="2">
        <v>24</v>
      </c>
      <c r="Q38" s="2">
        <f t="shared" si="19"/>
        <v>16</v>
      </c>
      <c r="R38" s="2">
        <f t="shared" si="20"/>
        <v>3481</v>
      </c>
      <c r="S38" s="2">
        <f t="shared" si="21"/>
        <v>64</v>
      </c>
      <c r="T38" s="2">
        <v>9</v>
      </c>
      <c r="U38" s="2">
        <f t="shared" si="12"/>
        <v>40.768802939852101</v>
      </c>
      <c r="V38" s="2">
        <f t="shared" si="22"/>
        <v>-1.231197060147899</v>
      </c>
      <c r="W38" s="2">
        <f t="shared" si="23"/>
        <v>1.5158462009168292</v>
      </c>
      <c r="X38" s="5">
        <f t="shared" si="24"/>
        <v>2.9314215717807117E-2</v>
      </c>
    </row>
    <row r="39" spans="1:24" x14ac:dyDescent="0.35">
      <c r="A39" s="2">
        <v>38</v>
      </c>
      <c r="B39" s="2">
        <v>9</v>
      </c>
      <c r="C39" s="2">
        <v>72</v>
      </c>
      <c r="D39" s="2">
        <v>8</v>
      </c>
      <c r="E39" s="15">
        <v>2</v>
      </c>
      <c r="F39" s="2">
        <v>68</v>
      </c>
      <c r="G39" s="2">
        <f t="shared" si="13"/>
        <v>612</v>
      </c>
      <c r="H39" s="2">
        <f t="shared" si="14"/>
        <v>4896</v>
      </c>
      <c r="I39" s="2">
        <f t="shared" si="15"/>
        <v>544</v>
      </c>
      <c r="J39" s="2">
        <v>136</v>
      </c>
      <c r="K39" s="2">
        <f t="shared" si="16"/>
        <v>648</v>
      </c>
      <c r="L39" s="2">
        <f t="shared" si="17"/>
        <v>72</v>
      </c>
      <c r="M39" s="2">
        <v>18</v>
      </c>
      <c r="N39" s="2">
        <f t="shared" si="18"/>
        <v>576</v>
      </c>
      <c r="O39" s="2">
        <v>144</v>
      </c>
      <c r="P39" s="2">
        <v>16</v>
      </c>
      <c r="Q39" s="2">
        <f t="shared" si="19"/>
        <v>81</v>
      </c>
      <c r="R39" s="2">
        <f t="shared" si="20"/>
        <v>5184</v>
      </c>
      <c r="S39" s="2">
        <f t="shared" si="21"/>
        <v>64</v>
      </c>
      <c r="T39" s="2">
        <v>4</v>
      </c>
      <c r="U39" s="2">
        <f t="shared" si="12"/>
        <v>68.554372869568397</v>
      </c>
      <c r="V39" s="2">
        <f t="shared" si="22"/>
        <v>0.55437286956839671</v>
      </c>
      <c r="W39" s="2">
        <f t="shared" si="23"/>
        <v>0.30732927851349862</v>
      </c>
      <c r="X39" s="5">
        <f t="shared" si="24"/>
        <v>8.1525421995352464E-3</v>
      </c>
    </row>
    <row r="40" spans="1:24" x14ac:dyDescent="0.35">
      <c r="A40" s="2">
        <v>39</v>
      </c>
      <c r="B40" s="2">
        <v>2</v>
      </c>
      <c r="C40" s="2">
        <v>55</v>
      </c>
      <c r="D40" s="2">
        <v>4</v>
      </c>
      <c r="E40" s="15">
        <v>1</v>
      </c>
      <c r="F40" s="2">
        <v>32</v>
      </c>
      <c r="G40" s="2">
        <f t="shared" si="13"/>
        <v>64</v>
      </c>
      <c r="H40" s="2">
        <f t="shared" si="14"/>
        <v>1760</v>
      </c>
      <c r="I40" s="2">
        <f t="shared" si="15"/>
        <v>128</v>
      </c>
      <c r="J40" s="2">
        <v>32</v>
      </c>
      <c r="K40" s="2">
        <f t="shared" si="16"/>
        <v>110</v>
      </c>
      <c r="L40" s="2">
        <f t="shared" si="17"/>
        <v>8</v>
      </c>
      <c r="M40" s="2">
        <v>2</v>
      </c>
      <c r="N40" s="2">
        <f t="shared" si="18"/>
        <v>220</v>
      </c>
      <c r="O40" s="2">
        <v>55</v>
      </c>
      <c r="P40" s="2">
        <v>4</v>
      </c>
      <c r="Q40" s="2">
        <f t="shared" si="19"/>
        <v>4</v>
      </c>
      <c r="R40" s="2">
        <f t="shared" si="20"/>
        <v>3025</v>
      </c>
      <c r="S40" s="2">
        <f t="shared" si="21"/>
        <v>16</v>
      </c>
      <c r="T40" s="2">
        <v>1</v>
      </c>
      <c r="U40" s="2">
        <f t="shared" si="12"/>
        <v>29.156187113286361</v>
      </c>
      <c r="V40" s="2">
        <f t="shared" si="22"/>
        <v>-2.8438128867136392</v>
      </c>
      <c r="W40" s="2">
        <f t="shared" si="23"/>
        <v>8.087271734638561</v>
      </c>
      <c r="X40" s="5">
        <f t="shared" si="24"/>
        <v>8.8869152709801225E-2</v>
      </c>
    </row>
    <row r="41" spans="1:24" x14ac:dyDescent="0.35">
      <c r="A41" s="2">
        <v>40</v>
      </c>
      <c r="B41" s="2">
        <v>9</v>
      </c>
      <c r="C41" s="2">
        <v>68</v>
      </c>
      <c r="D41" s="2">
        <v>5</v>
      </c>
      <c r="E41" s="15">
        <v>3</v>
      </c>
      <c r="F41" s="2">
        <v>64</v>
      </c>
      <c r="G41" s="2">
        <f t="shared" si="13"/>
        <v>576</v>
      </c>
      <c r="H41" s="2">
        <f t="shared" si="14"/>
        <v>4352</v>
      </c>
      <c r="I41" s="2">
        <f t="shared" si="15"/>
        <v>320</v>
      </c>
      <c r="J41" s="2">
        <v>192</v>
      </c>
      <c r="K41" s="2">
        <f t="shared" si="16"/>
        <v>612</v>
      </c>
      <c r="L41" s="2">
        <f t="shared" si="17"/>
        <v>45</v>
      </c>
      <c r="M41" s="2">
        <v>27</v>
      </c>
      <c r="N41" s="2">
        <f t="shared" si="18"/>
        <v>340</v>
      </c>
      <c r="O41" s="2">
        <v>204</v>
      </c>
      <c r="P41" s="2">
        <v>15</v>
      </c>
      <c r="Q41" s="2">
        <f t="shared" si="19"/>
        <v>81</v>
      </c>
      <c r="R41" s="2">
        <f t="shared" si="20"/>
        <v>4624</v>
      </c>
      <c r="S41" s="2">
        <f t="shared" si="21"/>
        <v>25</v>
      </c>
      <c r="T41" s="2">
        <v>9</v>
      </c>
      <c r="U41" s="2">
        <f t="shared" si="12"/>
        <v>63.206486422153759</v>
      </c>
      <c r="V41" s="2">
        <f t="shared" si="22"/>
        <v>-0.79351357784624099</v>
      </c>
      <c r="W41" s="2">
        <f t="shared" si="23"/>
        <v>0.62966379822634233</v>
      </c>
      <c r="X41" s="5">
        <f t="shared" si="24"/>
        <v>1.2398649653847515E-2</v>
      </c>
    </row>
    <row r="42" spans="1:24" x14ac:dyDescent="0.35">
      <c r="A42" s="2">
        <v>41</v>
      </c>
      <c r="B42" s="2">
        <v>5</v>
      </c>
      <c r="C42" s="2">
        <v>62</v>
      </c>
      <c r="D42" s="2">
        <v>7</v>
      </c>
      <c r="E42" s="15">
        <v>4</v>
      </c>
      <c r="F42" s="2">
        <v>45</v>
      </c>
      <c r="G42" s="2">
        <f t="shared" si="13"/>
        <v>225</v>
      </c>
      <c r="H42" s="2">
        <f t="shared" si="14"/>
        <v>2790</v>
      </c>
      <c r="I42" s="2">
        <f t="shared" si="15"/>
        <v>315</v>
      </c>
      <c r="J42" s="2">
        <v>180</v>
      </c>
      <c r="K42" s="2">
        <f t="shared" si="16"/>
        <v>310</v>
      </c>
      <c r="L42" s="2">
        <f t="shared" si="17"/>
        <v>35</v>
      </c>
      <c r="M42" s="2">
        <v>20</v>
      </c>
      <c r="N42" s="2">
        <f t="shared" si="18"/>
        <v>434</v>
      </c>
      <c r="O42" s="2">
        <v>248</v>
      </c>
      <c r="P42" s="2">
        <v>28</v>
      </c>
      <c r="Q42" s="2">
        <f t="shared" si="19"/>
        <v>25</v>
      </c>
      <c r="R42" s="2">
        <f t="shared" si="20"/>
        <v>3844</v>
      </c>
      <c r="S42" s="2">
        <f t="shared" si="21"/>
        <v>49</v>
      </c>
      <c r="T42" s="2">
        <v>16</v>
      </c>
      <c r="U42" s="2">
        <f t="shared" si="12"/>
        <v>46.302832116337903</v>
      </c>
      <c r="V42" s="2">
        <f t="shared" si="22"/>
        <v>1.3028321163379033</v>
      </c>
      <c r="W42" s="2">
        <f t="shared" si="23"/>
        <v>1.6973715233615001</v>
      </c>
      <c r="X42" s="5">
        <f t="shared" si="24"/>
        <v>2.8951824807508963E-2</v>
      </c>
    </row>
    <row r="43" spans="1:24" x14ac:dyDescent="0.35">
      <c r="A43" s="2">
        <v>42</v>
      </c>
      <c r="B43" s="2">
        <v>2</v>
      </c>
      <c r="C43" s="2">
        <v>63</v>
      </c>
      <c r="D43" s="2">
        <v>6</v>
      </c>
      <c r="E43" s="15">
        <v>0</v>
      </c>
      <c r="F43" s="2">
        <v>39</v>
      </c>
      <c r="G43" s="2">
        <f t="shared" si="13"/>
        <v>78</v>
      </c>
      <c r="H43" s="2">
        <f t="shared" si="14"/>
        <v>2457</v>
      </c>
      <c r="I43" s="2">
        <f t="shared" si="15"/>
        <v>234</v>
      </c>
      <c r="J43" s="2">
        <v>0</v>
      </c>
      <c r="K43" s="2">
        <f t="shared" si="16"/>
        <v>126</v>
      </c>
      <c r="L43" s="2">
        <f t="shared" si="17"/>
        <v>12</v>
      </c>
      <c r="M43" s="2">
        <v>0</v>
      </c>
      <c r="N43" s="2">
        <f t="shared" si="18"/>
        <v>378</v>
      </c>
      <c r="O43" s="2">
        <v>0</v>
      </c>
      <c r="P43" s="2">
        <v>0</v>
      </c>
      <c r="Q43" s="2">
        <f t="shared" si="19"/>
        <v>4</v>
      </c>
      <c r="R43" s="2">
        <f t="shared" si="20"/>
        <v>3969</v>
      </c>
      <c r="S43" s="2">
        <f t="shared" si="21"/>
        <v>36</v>
      </c>
      <c r="T43" s="2">
        <v>0</v>
      </c>
      <c r="U43" s="2">
        <f t="shared" si="12"/>
        <v>38.13542630288817</v>
      </c>
      <c r="V43" s="2">
        <f t="shared" si="22"/>
        <v>-0.86457369711182963</v>
      </c>
      <c r="W43" s="2">
        <f t="shared" si="23"/>
        <v>0.74748767773761771</v>
      </c>
      <c r="X43" s="5">
        <f t="shared" si="24"/>
        <v>2.2168556336200761E-2</v>
      </c>
    </row>
    <row r="44" spans="1:24" x14ac:dyDescent="0.35">
      <c r="A44" s="2">
        <v>43</v>
      </c>
      <c r="B44" s="2">
        <v>4</v>
      </c>
      <c r="C44" s="2">
        <v>73</v>
      </c>
      <c r="D44" s="2">
        <v>7</v>
      </c>
      <c r="E44" s="15">
        <v>0</v>
      </c>
      <c r="F44" s="2">
        <v>58</v>
      </c>
      <c r="G44" s="2">
        <f t="shared" si="13"/>
        <v>232</v>
      </c>
      <c r="H44" s="2">
        <f t="shared" si="14"/>
        <v>4234</v>
      </c>
      <c r="I44" s="2">
        <f t="shared" si="15"/>
        <v>406</v>
      </c>
      <c r="J44" s="2">
        <v>0</v>
      </c>
      <c r="K44" s="2">
        <f t="shared" si="16"/>
        <v>292</v>
      </c>
      <c r="L44" s="2">
        <f t="shared" si="17"/>
        <v>28</v>
      </c>
      <c r="M44" s="2">
        <v>0</v>
      </c>
      <c r="N44" s="2">
        <f t="shared" si="18"/>
        <v>511</v>
      </c>
      <c r="O44" s="2">
        <v>0</v>
      </c>
      <c r="P44" s="2">
        <v>0</v>
      </c>
      <c r="Q44" s="2">
        <f t="shared" si="19"/>
        <v>16</v>
      </c>
      <c r="R44" s="2">
        <f t="shared" si="20"/>
        <v>5329</v>
      </c>
      <c r="S44" s="2">
        <f t="shared" si="21"/>
        <v>49</v>
      </c>
      <c r="T44" s="2">
        <v>0</v>
      </c>
      <c r="U44" s="2">
        <f t="shared" si="12"/>
        <v>54.551371103274398</v>
      </c>
      <c r="V44" s="2">
        <f t="shared" si="22"/>
        <v>-3.4486288967256016</v>
      </c>
      <c r="W44" s="2">
        <f t="shared" si="23"/>
        <v>11.89304126733084</v>
      </c>
      <c r="X44" s="5">
        <f t="shared" si="24"/>
        <v>5.9459118909062095E-2</v>
      </c>
    </row>
    <row r="45" spans="1:24" x14ac:dyDescent="0.35">
      <c r="A45" s="2">
        <v>44</v>
      </c>
      <c r="B45" s="2">
        <v>7</v>
      </c>
      <c r="C45" s="2">
        <v>46</v>
      </c>
      <c r="D45" s="2">
        <v>9</v>
      </c>
      <c r="E45" s="15">
        <v>5</v>
      </c>
      <c r="F45" s="2">
        <v>36</v>
      </c>
      <c r="G45" s="2">
        <f t="shared" si="13"/>
        <v>252</v>
      </c>
      <c r="H45" s="2">
        <f t="shared" si="14"/>
        <v>1656</v>
      </c>
      <c r="I45" s="2">
        <f t="shared" si="15"/>
        <v>324</v>
      </c>
      <c r="J45" s="2">
        <v>180</v>
      </c>
      <c r="K45" s="2">
        <f t="shared" si="16"/>
        <v>322</v>
      </c>
      <c r="L45" s="2">
        <f t="shared" si="17"/>
        <v>63</v>
      </c>
      <c r="M45" s="2">
        <v>35</v>
      </c>
      <c r="N45" s="2">
        <f t="shared" si="18"/>
        <v>414</v>
      </c>
      <c r="O45" s="2">
        <v>230</v>
      </c>
      <c r="P45" s="2">
        <v>45</v>
      </c>
      <c r="Q45" s="2">
        <f t="shared" si="19"/>
        <v>49</v>
      </c>
      <c r="R45" s="2">
        <f t="shared" si="20"/>
        <v>2116</v>
      </c>
      <c r="S45" s="2">
        <f t="shared" si="21"/>
        <v>81</v>
      </c>
      <c r="T45" s="2">
        <v>25</v>
      </c>
      <c r="U45" s="2">
        <f t="shared" si="12"/>
        <v>36.754750247819707</v>
      </c>
      <c r="V45" s="2">
        <f t="shared" si="22"/>
        <v>0.75475024781970745</v>
      </c>
      <c r="W45" s="2">
        <f t="shared" si="23"/>
        <v>0.56964793658390978</v>
      </c>
      <c r="X45" s="5">
        <f t="shared" si="24"/>
        <v>2.0965284661658541E-2</v>
      </c>
    </row>
    <row r="46" spans="1:24" x14ac:dyDescent="0.35">
      <c r="A46" s="2">
        <v>45</v>
      </c>
      <c r="B46" s="2">
        <v>8</v>
      </c>
      <c r="C46" s="2">
        <v>77</v>
      </c>
      <c r="D46" s="2">
        <v>6</v>
      </c>
      <c r="E46" s="15">
        <v>4</v>
      </c>
      <c r="F46" s="2">
        <v>71</v>
      </c>
      <c r="G46" s="2">
        <f t="shared" si="13"/>
        <v>568</v>
      </c>
      <c r="H46" s="2">
        <f t="shared" si="14"/>
        <v>5467</v>
      </c>
      <c r="I46" s="2">
        <f t="shared" si="15"/>
        <v>426</v>
      </c>
      <c r="J46" s="2">
        <v>284</v>
      </c>
      <c r="K46" s="2">
        <f t="shared" si="16"/>
        <v>616</v>
      </c>
      <c r="L46" s="2">
        <f t="shared" si="17"/>
        <v>48</v>
      </c>
      <c r="M46" s="2">
        <v>32</v>
      </c>
      <c r="N46" s="2">
        <f t="shared" si="18"/>
        <v>462</v>
      </c>
      <c r="O46" s="2">
        <v>308</v>
      </c>
      <c r="P46" s="2">
        <v>24</v>
      </c>
      <c r="Q46" s="2">
        <f t="shared" si="19"/>
        <v>64</v>
      </c>
      <c r="R46" s="2">
        <f t="shared" si="20"/>
        <v>5929</v>
      </c>
      <c r="S46" s="2">
        <f t="shared" si="21"/>
        <v>36</v>
      </c>
      <c r="T46" s="2">
        <v>16</v>
      </c>
      <c r="U46" s="2">
        <f t="shared" si="12"/>
        <v>69.853915751150112</v>
      </c>
      <c r="V46" s="2">
        <f t="shared" si="22"/>
        <v>-1.1460842488498884</v>
      </c>
      <c r="W46" s="2">
        <f t="shared" si="23"/>
        <v>1.3135091054618129</v>
      </c>
      <c r="X46" s="5">
        <f t="shared" si="24"/>
        <v>1.6142031673942091E-2</v>
      </c>
    </row>
    <row r="47" spans="1:24" x14ac:dyDescent="0.35">
      <c r="A47" s="2">
        <v>46</v>
      </c>
      <c r="B47" s="2">
        <v>3</v>
      </c>
      <c r="C47" s="2">
        <v>76</v>
      </c>
      <c r="D47" s="2">
        <v>4</v>
      </c>
      <c r="E47" s="15">
        <v>3</v>
      </c>
      <c r="F47" s="2">
        <v>54</v>
      </c>
      <c r="G47" s="2">
        <f t="shared" si="13"/>
        <v>162</v>
      </c>
      <c r="H47" s="2">
        <f t="shared" si="14"/>
        <v>4104</v>
      </c>
      <c r="I47" s="2">
        <f t="shared" si="15"/>
        <v>216</v>
      </c>
      <c r="J47" s="2">
        <v>162</v>
      </c>
      <c r="K47" s="2">
        <f t="shared" si="16"/>
        <v>228</v>
      </c>
      <c r="L47" s="2">
        <f t="shared" si="17"/>
        <v>12</v>
      </c>
      <c r="M47" s="2">
        <v>9</v>
      </c>
      <c r="N47" s="2">
        <f t="shared" si="18"/>
        <v>304</v>
      </c>
      <c r="O47" s="2">
        <v>228</v>
      </c>
      <c r="P47" s="2">
        <v>12</v>
      </c>
      <c r="Q47" s="2">
        <f t="shared" si="19"/>
        <v>9</v>
      </c>
      <c r="R47" s="2">
        <f t="shared" si="20"/>
        <v>5776</v>
      </c>
      <c r="S47" s="2">
        <f t="shared" si="21"/>
        <v>16</v>
      </c>
      <c r="T47" s="2">
        <v>9</v>
      </c>
      <c r="U47" s="2">
        <f t="shared" si="12"/>
        <v>53.391537474302226</v>
      </c>
      <c r="V47" s="2">
        <f t="shared" si="22"/>
        <v>-0.60846252569777448</v>
      </c>
      <c r="W47" s="2">
        <f t="shared" si="23"/>
        <v>0.37022664517851489</v>
      </c>
      <c r="X47" s="5">
        <f t="shared" si="24"/>
        <v>1.1267824549958786E-2</v>
      </c>
    </row>
    <row r="48" spans="1:24" x14ac:dyDescent="0.35">
      <c r="A48" s="2">
        <v>47</v>
      </c>
      <c r="B48" s="2">
        <v>1</v>
      </c>
      <c r="C48" s="2">
        <v>43</v>
      </c>
      <c r="D48" s="2">
        <v>7</v>
      </c>
      <c r="E48" s="15">
        <v>0</v>
      </c>
      <c r="F48" s="2">
        <v>17</v>
      </c>
      <c r="G48" s="2">
        <f t="shared" si="13"/>
        <v>17</v>
      </c>
      <c r="H48" s="2">
        <f t="shared" si="14"/>
        <v>731</v>
      </c>
      <c r="I48" s="2">
        <f t="shared" si="15"/>
        <v>119</v>
      </c>
      <c r="J48" s="2">
        <v>0</v>
      </c>
      <c r="K48" s="2">
        <f t="shared" si="16"/>
        <v>43</v>
      </c>
      <c r="L48" s="2">
        <f t="shared" si="17"/>
        <v>7</v>
      </c>
      <c r="M48" s="2">
        <v>0</v>
      </c>
      <c r="N48" s="2">
        <f t="shared" si="18"/>
        <v>301</v>
      </c>
      <c r="O48" s="2">
        <v>0</v>
      </c>
      <c r="P48" s="2">
        <v>0</v>
      </c>
      <c r="Q48" s="2">
        <f t="shared" si="19"/>
        <v>1</v>
      </c>
      <c r="R48" s="2">
        <f t="shared" si="20"/>
        <v>1849</v>
      </c>
      <c r="S48" s="2">
        <f t="shared" si="21"/>
        <v>49</v>
      </c>
      <c r="T48" s="2">
        <v>0</v>
      </c>
      <c r="U48" s="2">
        <f t="shared" si="12"/>
        <v>15.344330910302684</v>
      </c>
      <c r="V48" s="2">
        <f t="shared" si="22"/>
        <v>-1.6556690896973159</v>
      </c>
      <c r="W48" s="2">
        <f t="shared" si="23"/>
        <v>2.7412401345791384</v>
      </c>
      <c r="X48" s="5">
        <f t="shared" si="24"/>
        <v>9.7392299393959755E-2</v>
      </c>
    </row>
    <row r="49" spans="1:25" x14ac:dyDescent="0.35">
      <c r="A49" s="2">
        <v>48</v>
      </c>
      <c r="B49" s="2">
        <v>4</v>
      </c>
      <c r="C49" s="2">
        <v>73</v>
      </c>
      <c r="D49" s="2">
        <v>4</v>
      </c>
      <c r="E49" s="15">
        <v>6</v>
      </c>
      <c r="F49" s="2">
        <v>54</v>
      </c>
      <c r="G49" s="2">
        <f t="shared" si="13"/>
        <v>216</v>
      </c>
      <c r="H49" s="2">
        <f t="shared" si="14"/>
        <v>3942</v>
      </c>
      <c r="I49" s="2">
        <f t="shared" si="15"/>
        <v>216</v>
      </c>
      <c r="J49" s="2">
        <v>324</v>
      </c>
      <c r="K49" s="2">
        <f t="shared" si="16"/>
        <v>292</v>
      </c>
      <c r="L49" s="2">
        <f t="shared" si="17"/>
        <v>16</v>
      </c>
      <c r="M49" s="2">
        <v>24</v>
      </c>
      <c r="N49" s="2">
        <f t="shared" si="18"/>
        <v>292</v>
      </c>
      <c r="O49" s="2">
        <v>438</v>
      </c>
      <c r="P49" s="2">
        <v>24</v>
      </c>
      <c r="Q49" s="2">
        <f t="shared" si="19"/>
        <v>16</v>
      </c>
      <c r="R49" s="2">
        <f t="shared" si="20"/>
        <v>5329</v>
      </c>
      <c r="S49" s="2">
        <f t="shared" si="21"/>
        <v>16</v>
      </c>
      <c r="T49" s="2">
        <v>36</v>
      </c>
      <c r="U49" s="2">
        <f t="shared" si="12"/>
        <v>53.263970824353819</v>
      </c>
      <c r="V49" s="2">
        <f t="shared" si="22"/>
        <v>-0.73602917564618053</v>
      </c>
      <c r="W49" s="2">
        <f t="shared" si="23"/>
        <v>0.54173894740239603</v>
      </c>
      <c r="X49" s="5">
        <f t="shared" si="24"/>
        <v>1.3630169919373714E-2</v>
      </c>
    </row>
    <row r="50" spans="1:25" x14ac:dyDescent="0.35">
      <c r="A50" s="2">
        <v>49</v>
      </c>
      <c r="B50" s="2">
        <v>2</v>
      </c>
      <c r="C50" s="2">
        <v>81</v>
      </c>
      <c r="D50" s="2">
        <v>4</v>
      </c>
      <c r="E50" s="15">
        <v>3</v>
      </c>
      <c r="F50" s="2">
        <v>58</v>
      </c>
      <c r="G50" s="2">
        <f t="shared" si="13"/>
        <v>116</v>
      </c>
      <c r="H50" s="2">
        <f t="shared" si="14"/>
        <v>4698</v>
      </c>
      <c r="I50" s="2">
        <f t="shared" si="15"/>
        <v>232</v>
      </c>
      <c r="J50" s="2">
        <v>174</v>
      </c>
      <c r="K50" s="2">
        <f t="shared" si="16"/>
        <v>162</v>
      </c>
      <c r="L50" s="2">
        <f t="shared" si="17"/>
        <v>8</v>
      </c>
      <c r="M50" s="2">
        <v>6</v>
      </c>
      <c r="N50" s="2">
        <f t="shared" si="18"/>
        <v>324</v>
      </c>
      <c r="O50" s="2">
        <v>243</v>
      </c>
      <c r="P50" s="2">
        <v>12</v>
      </c>
      <c r="Q50" s="2">
        <f t="shared" si="19"/>
        <v>4</v>
      </c>
      <c r="R50" s="2">
        <f t="shared" si="20"/>
        <v>6561</v>
      </c>
      <c r="S50" s="2">
        <f t="shared" si="21"/>
        <v>16</v>
      </c>
      <c r="T50" s="2">
        <v>9</v>
      </c>
      <c r="U50" s="2">
        <f t="shared" si="12"/>
        <v>55.54934720849765</v>
      </c>
      <c r="V50" s="2">
        <f t="shared" si="22"/>
        <v>-2.4506527915023497</v>
      </c>
      <c r="W50" s="2">
        <f t="shared" si="23"/>
        <v>6.0056991044982588</v>
      </c>
      <c r="X50" s="5">
        <f t="shared" si="24"/>
        <v>4.2252634336247409E-2</v>
      </c>
    </row>
    <row r="51" spans="1:25" x14ac:dyDescent="0.35">
      <c r="A51" s="2">
        <v>50</v>
      </c>
      <c r="B51" s="2">
        <v>8</v>
      </c>
      <c r="C51" s="2">
        <v>61</v>
      </c>
      <c r="D51" s="2">
        <v>7</v>
      </c>
      <c r="E51" s="15">
        <v>2</v>
      </c>
      <c r="F51" s="2">
        <v>53</v>
      </c>
      <c r="G51" s="2">
        <f t="shared" si="13"/>
        <v>424</v>
      </c>
      <c r="H51" s="2">
        <f t="shared" si="14"/>
        <v>3233</v>
      </c>
      <c r="I51" s="2">
        <f t="shared" si="15"/>
        <v>371</v>
      </c>
      <c r="J51" s="2">
        <v>106</v>
      </c>
      <c r="K51" s="2">
        <f t="shared" si="16"/>
        <v>488</v>
      </c>
      <c r="L51" s="2">
        <f t="shared" si="17"/>
        <v>56</v>
      </c>
      <c r="M51" s="2">
        <v>16</v>
      </c>
      <c r="N51" s="2">
        <f t="shared" si="18"/>
        <v>427</v>
      </c>
      <c r="O51" s="2">
        <v>122</v>
      </c>
      <c r="P51" s="2">
        <v>14</v>
      </c>
      <c r="Q51" s="2">
        <f t="shared" si="19"/>
        <v>64</v>
      </c>
      <c r="R51" s="2">
        <f t="shared" si="20"/>
        <v>3721</v>
      </c>
      <c r="S51" s="2">
        <f t="shared" si="21"/>
        <v>49</v>
      </c>
      <c r="T51" s="2">
        <v>4</v>
      </c>
      <c r="U51" s="2">
        <f t="shared" si="12"/>
        <v>54.041104503480774</v>
      </c>
      <c r="V51" s="2">
        <f t="shared" si="22"/>
        <v>1.0411045034807742</v>
      </c>
      <c r="W51" s="2">
        <f t="shared" si="23"/>
        <v>1.0838985871679494</v>
      </c>
      <c r="X51" s="5">
        <f t="shared" si="24"/>
        <v>1.9643481197750456E-2</v>
      </c>
    </row>
    <row r="52" spans="1:25" x14ac:dyDescent="0.35">
      <c r="A52" s="6" t="s">
        <v>10</v>
      </c>
      <c r="B52" s="7">
        <f>SUM(B2:B51)</f>
        <v>260</v>
      </c>
      <c r="C52" s="7">
        <f t="shared" ref="C52:D52" si="25">SUM(C2:C51)</f>
        <v>3545</v>
      </c>
      <c r="D52" s="7">
        <f t="shared" si="25"/>
        <v>319</v>
      </c>
      <c r="E52" s="16">
        <f t="shared" ref="E52:J52" si="26">SUM(E2:E51)</f>
        <v>171</v>
      </c>
      <c r="F52" s="7">
        <f t="shared" si="26"/>
        <v>2829</v>
      </c>
      <c r="G52" s="7">
        <f t="shared" si="26"/>
        <v>15438</v>
      </c>
      <c r="H52" s="7">
        <f t="shared" si="26"/>
        <v>212160</v>
      </c>
      <c r="I52" s="7">
        <f t="shared" si="26"/>
        <v>18160</v>
      </c>
      <c r="J52" s="7">
        <f t="shared" si="26"/>
        <v>9940</v>
      </c>
      <c r="K52" s="7">
        <f t="shared" ref="K52:S52" si="27">SUM(K2:K51)</f>
        <v>18251</v>
      </c>
      <c r="L52" s="7">
        <f t="shared" si="27"/>
        <v>1715</v>
      </c>
      <c r="M52" s="7">
        <f t="shared" si="27"/>
        <v>896</v>
      </c>
      <c r="N52" s="7">
        <f t="shared" si="27"/>
        <v>22504</v>
      </c>
      <c r="O52" s="7">
        <f t="shared" si="27"/>
        <v>12299</v>
      </c>
      <c r="P52" s="7">
        <f t="shared" si="27"/>
        <v>1066</v>
      </c>
      <c r="Q52" s="7">
        <f t="shared" si="27"/>
        <v>1656</v>
      </c>
      <c r="R52" s="7">
        <f t="shared" si="27"/>
        <v>263279</v>
      </c>
      <c r="S52" s="7">
        <f t="shared" si="27"/>
        <v>2195</v>
      </c>
      <c r="T52" s="7">
        <f>SUM(_xlfn.ANCHORARRAY(T2))</f>
        <v>873</v>
      </c>
      <c r="U52" s="6"/>
      <c r="V52" s="6"/>
      <c r="W52" s="7">
        <f>SUM(W2:W51)</f>
        <v>232.40791955357628</v>
      </c>
      <c r="X52" s="8">
        <f>SUM(X2:X51)</f>
        <v>1.65887129623539</v>
      </c>
    </row>
    <row r="54" spans="1:25" x14ac:dyDescent="0.35">
      <c r="A54" t="s">
        <v>11</v>
      </c>
      <c r="F54" s="1" t="s">
        <v>12</v>
      </c>
      <c r="G54" t="s">
        <v>17</v>
      </c>
      <c r="H54" s="4">
        <f>MDETERM(A55:E59)</f>
        <v>7523285062712.0254</v>
      </c>
      <c r="L54" t="s">
        <v>26</v>
      </c>
    </row>
    <row r="55" spans="1:25" x14ac:dyDescent="0.35">
      <c r="A55" s="18">
        <f>A51</f>
        <v>50</v>
      </c>
      <c r="B55" s="19">
        <f>B52</f>
        <v>260</v>
      </c>
      <c r="C55" s="19">
        <f>C52</f>
        <v>3545</v>
      </c>
      <c r="D55" s="19">
        <f>D52</f>
        <v>319</v>
      </c>
      <c r="E55" s="20">
        <f>E52</f>
        <v>171</v>
      </c>
      <c r="F55" s="3">
        <f>F52</f>
        <v>2829</v>
      </c>
      <c r="I55" t="s">
        <v>76</v>
      </c>
      <c r="J55">
        <f>H60/H54</f>
        <v>-34.227627361578456</v>
      </c>
      <c r="L55" s="1" t="s">
        <v>27</v>
      </c>
      <c r="M55" s="1">
        <f>J55</f>
        <v>-34.227627361578456</v>
      </c>
      <c r="N55" s="1" t="s">
        <v>28</v>
      </c>
      <c r="O55" s="1">
        <f>J61</f>
        <v>2.9177979764221282</v>
      </c>
      <c r="P55" s="1" t="s">
        <v>29</v>
      </c>
      <c r="Q55" s="1" t="s">
        <v>28</v>
      </c>
      <c r="R55" s="1">
        <f>J67</f>
        <v>1.0151215421235111</v>
      </c>
      <c r="S55" s="1" t="s">
        <v>30</v>
      </c>
      <c r="T55" s="1" t="s">
        <v>28</v>
      </c>
      <c r="U55" s="1">
        <f>J73</f>
        <v>0.42913342630686135</v>
      </c>
      <c r="V55" s="1" t="s">
        <v>31</v>
      </c>
      <c r="W55" s="1">
        <f>J79</f>
        <v>0.27049394379779013</v>
      </c>
      <c r="Y55" s="1"/>
    </row>
    <row r="56" spans="1:25" x14ac:dyDescent="0.35">
      <c r="A56" s="21">
        <f>B52</f>
        <v>260</v>
      </c>
      <c r="B56" s="17">
        <f>Q52</f>
        <v>1656</v>
      </c>
      <c r="C56" s="17">
        <f>K52</f>
        <v>18251</v>
      </c>
      <c r="D56" s="17">
        <f>L52</f>
        <v>1715</v>
      </c>
      <c r="E56" s="22">
        <f>M52</f>
        <v>896</v>
      </c>
      <c r="F56" s="3">
        <f>G52</f>
        <v>15438</v>
      </c>
    </row>
    <row r="57" spans="1:25" x14ac:dyDescent="0.35">
      <c r="A57" s="21">
        <f>C52</f>
        <v>3545</v>
      </c>
      <c r="B57" s="17">
        <f>K52</f>
        <v>18251</v>
      </c>
      <c r="C57" s="17">
        <f>R52</f>
        <v>263279</v>
      </c>
      <c r="D57" s="17">
        <f>N52</f>
        <v>22504</v>
      </c>
      <c r="E57" s="22">
        <f>(O52)</f>
        <v>12299</v>
      </c>
      <c r="F57" s="3">
        <f>H52</f>
        <v>212160</v>
      </c>
    </row>
    <row r="58" spans="1:25" x14ac:dyDescent="0.35">
      <c r="A58" s="21">
        <f>D52</f>
        <v>319</v>
      </c>
      <c r="B58" s="17">
        <f>L52</f>
        <v>1715</v>
      </c>
      <c r="C58" s="17">
        <f>N52</f>
        <v>22504</v>
      </c>
      <c r="D58" s="17">
        <f>S52</f>
        <v>2195</v>
      </c>
      <c r="E58" s="22">
        <f>P52</f>
        <v>1066</v>
      </c>
      <c r="F58" s="3">
        <f>I52</f>
        <v>18160</v>
      </c>
    </row>
    <row r="59" spans="1:25" x14ac:dyDescent="0.35">
      <c r="A59" s="24">
        <f>(E52)</f>
        <v>171</v>
      </c>
      <c r="B59" s="25">
        <f>E56</f>
        <v>896</v>
      </c>
      <c r="C59" s="25">
        <f>E57</f>
        <v>12299</v>
      </c>
      <c r="D59" s="25">
        <f>E58</f>
        <v>1066</v>
      </c>
      <c r="E59" s="23">
        <f>T52</f>
        <v>873</v>
      </c>
      <c r="F59" s="28">
        <f>J52</f>
        <v>9940</v>
      </c>
    </row>
    <row r="60" spans="1:25" x14ac:dyDescent="0.35">
      <c r="A60" t="s">
        <v>13</v>
      </c>
      <c r="G60" t="s">
        <v>18</v>
      </c>
      <c r="H60" s="4">
        <f>MDETERM(A61:E65)</f>
        <v>-257504197661436.63</v>
      </c>
    </row>
    <row r="61" spans="1:25" x14ac:dyDescent="0.35">
      <c r="A61" s="18">
        <f>F55</f>
        <v>2829</v>
      </c>
      <c r="B61" s="19">
        <f>B55</f>
        <v>260</v>
      </c>
      <c r="C61" s="19">
        <f t="shared" ref="C61:D61" si="28">C55</f>
        <v>3545</v>
      </c>
      <c r="D61" s="19">
        <f t="shared" si="28"/>
        <v>319</v>
      </c>
      <c r="E61" s="20">
        <f>E55</f>
        <v>171</v>
      </c>
      <c r="I61" t="s">
        <v>22</v>
      </c>
      <c r="J61">
        <f>H66/H54</f>
        <v>2.9177979764221282</v>
      </c>
    </row>
    <row r="62" spans="1:25" x14ac:dyDescent="0.35">
      <c r="A62" s="21">
        <f t="shared" ref="A62:A64" si="29">F56</f>
        <v>15438</v>
      </c>
      <c r="B62" s="17">
        <f t="shared" ref="B62:D64" si="30">B56</f>
        <v>1656</v>
      </c>
      <c r="C62" s="17">
        <f t="shared" si="30"/>
        <v>18251</v>
      </c>
      <c r="D62" s="17">
        <f>D56</f>
        <v>1715</v>
      </c>
      <c r="E62" s="22">
        <f>E56</f>
        <v>896</v>
      </c>
    </row>
    <row r="63" spans="1:25" x14ac:dyDescent="0.35">
      <c r="A63" s="21">
        <f t="shared" si="29"/>
        <v>212160</v>
      </c>
      <c r="B63" s="17">
        <f t="shared" si="30"/>
        <v>18251</v>
      </c>
      <c r="C63" s="17">
        <f t="shared" si="30"/>
        <v>263279</v>
      </c>
      <c r="D63" s="17">
        <f t="shared" si="30"/>
        <v>22504</v>
      </c>
      <c r="E63" s="22">
        <f>E57</f>
        <v>12299</v>
      </c>
    </row>
    <row r="64" spans="1:25" x14ac:dyDescent="0.35">
      <c r="A64" s="21">
        <f t="shared" si="29"/>
        <v>18160</v>
      </c>
      <c r="B64" s="17">
        <f t="shared" si="30"/>
        <v>1715</v>
      </c>
      <c r="C64" s="17">
        <f t="shared" si="30"/>
        <v>22504</v>
      </c>
      <c r="D64" s="17">
        <f t="shared" si="30"/>
        <v>2195</v>
      </c>
      <c r="E64" s="22">
        <f>E58</f>
        <v>1066</v>
      </c>
    </row>
    <row r="65" spans="1:10" x14ac:dyDescent="0.35">
      <c r="A65" s="26">
        <f>J52</f>
        <v>9940</v>
      </c>
      <c r="B65" s="27">
        <f>B59</f>
        <v>896</v>
      </c>
      <c r="C65" s="27">
        <f>C59</f>
        <v>12299</v>
      </c>
      <c r="D65" s="27">
        <f>D59</f>
        <v>1066</v>
      </c>
      <c r="E65" s="23">
        <f>E59</f>
        <v>873</v>
      </c>
    </row>
    <row r="66" spans="1:10" x14ac:dyDescent="0.35">
      <c r="A66" t="s">
        <v>14</v>
      </c>
      <c r="G66" t="s">
        <v>19</v>
      </c>
      <c r="H66" s="4">
        <f>MDETERM(A67:E71)</f>
        <v>21951425932027.973</v>
      </c>
    </row>
    <row r="67" spans="1:10" x14ac:dyDescent="0.35">
      <c r="A67" s="18">
        <f>A55</f>
        <v>50</v>
      </c>
      <c r="B67" s="19">
        <f>F55</f>
        <v>2829</v>
      </c>
      <c r="C67" s="19">
        <f>C55</f>
        <v>3545</v>
      </c>
      <c r="D67" s="19">
        <f>D55</f>
        <v>319</v>
      </c>
      <c r="E67" s="20">
        <f>E61</f>
        <v>171</v>
      </c>
      <c r="I67" t="s">
        <v>23</v>
      </c>
      <c r="J67">
        <f>H72/H54</f>
        <v>1.0151215421235111</v>
      </c>
    </row>
    <row r="68" spans="1:10" x14ac:dyDescent="0.35">
      <c r="A68" s="21">
        <f t="shared" ref="A68:A70" si="31">A56</f>
        <v>260</v>
      </c>
      <c r="B68" s="17">
        <f t="shared" ref="B68:B70" si="32">F56</f>
        <v>15438</v>
      </c>
      <c r="C68" s="17">
        <f t="shared" ref="C68:D70" si="33">C56</f>
        <v>18251</v>
      </c>
      <c r="D68" s="17">
        <f t="shared" si="33"/>
        <v>1715</v>
      </c>
      <c r="E68" s="22">
        <f>E62</f>
        <v>896</v>
      </c>
    </row>
    <row r="69" spans="1:10" x14ac:dyDescent="0.35">
      <c r="A69" s="21">
        <f t="shared" si="31"/>
        <v>3545</v>
      </c>
      <c r="B69" s="17">
        <f t="shared" si="32"/>
        <v>212160</v>
      </c>
      <c r="C69" s="17">
        <f t="shared" si="33"/>
        <v>263279</v>
      </c>
      <c r="D69" s="17">
        <f t="shared" si="33"/>
        <v>22504</v>
      </c>
      <c r="E69" s="22">
        <f>E63</f>
        <v>12299</v>
      </c>
    </row>
    <row r="70" spans="1:10" x14ac:dyDescent="0.35">
      <c r="A70" s="21">
        <f t="shared" si="31"/>
        <v>319</v>
      </c>
      <c r="B70" s="17">
        <f t="shared" si="32"/>
        <v>18160</v>
      </c>
      <c r="C70" s="17">
        <f t="shared" si="33"/>
        <v>22504</v>
      </c>
      <c r="D70" s="17">
        <f t="shared" si="33"/>
        <v>2195</v>
      </c>
      <c r="E70" s="22">
        <f>E64</f>
        <v>1066</v>
      </c>
    </row>
    <row r="71" spans="1:10" x14ac:dyDescent="0.35">
      <c r="A71" s="26">
        <f>A59</f>
        <v>171</v>
      </c>
      <c r="B71" s="27">
        <f>F59</f>
        <v>9940</v>
      </c>
      <c r="C71" s="27">
        <f>C65</f>
        <v>12299</v>
      </c>
      <c r="D71" s="27">
        <f>D65</f>
        <v>1066</v>
      </c>
      <c r="E71" s="23">
        <f>E65</f>
        <v>873</v>
      </c>
    </row>
    <row r="72" spans="1:10" x14ac:dyDescent="0.35">
      <c r="A72" t="s">
        <v>15</v>
      </c>
      <c r="G72" t="s">
        <v>20</v>
      </c>
      <c r="H72" s="4">
        <f>MDETERM(A73:E77)</f>
        <v>7637048734695.0068</v>
      </c>
    </row>
    <row r="73" spans="1:10" x14ac:dyDescent="0.35">
      <c r="A73" s="18">
        <f>A55</f>
        <v>50</v>
      </c>
      <c r="B73" s="19">
        <f>B55</f>
        <v>260</v>
      </c>
      <c r="C73" s="19">
        <f>F55</f>
        <v>2829</v>
      </c>
      <c r="D73" s="19">
        <f>D55</f>
        <v>319</v>
      </c>
      <c r="E73" s="20">
        <f>E67</f>
        <v>171</v>
      </c>
      <c r="I73" t="s">
        <v>24</v>
      </c>
      <c r="J73">
        <f>H78/H54</f>
        <v>0.42913342630686135</v>
      </c>
    </row>
    <row r="74" spans="1:10" x14ac:dyDescent="0.35">
      <c r="A74" s="21">
        <f t="shared" ref="A74:B74" si="34">A56</f>
        <v>260</v>
      </c>
      <c r="B74" s="17">
        <f t="shared" si="34"/>
        <v>1656</v>
      </c>
      <c r="C74" s="17">
        <f t="shared" ref="C74:C75" si="35">F56</f>
        <v>15438</v>
      </c>
      <c r="D74" s="17">
        <f t="shared" ref="D74:D76" si="36">D56</f>
        <v>1715</v>
      </c>
      <c r="E74" s="22">
        <f>E68</f>
        <v>896</v>
      </c>
    </row>
    <row r="75" spans="1:10" x14ac:dyDescent="0.35">
      <c r="A75" s="21">
        <f t="shared" ref="A75:B75" si="37">A57</f>
        <v>3545</v>
      </c>
      <c r="B75" s="17">
        <f t="shared" si="37"/>
        <v>18251</v>
      </c>
      <c r="C75" s="17">
        <f t="shared" si="35"/>
        <v>212160</v>
      </c>
      <c r="D75" s="17">
        <f t="shared" si="36"/>
        <v>22504</v>
      </c>
      <c r="E75" s="22">
        <f>E69</f>
        <v>12299</v>
      </c>
    </row>
    <row r="76" spans="1:10" x14ac:dyDescent="0.35">
      <c r="A76" s="21">
        <f t="shared" ref="A76" si="38">A58</f>
        <v>319</v>
      </c>
      <c r="B76" s="17">
        <f>B58</f>
        <v>1715</v>
      </c>
      <c r="C76" s="17">
        <f>F58</f>
        <v>18160</v>
      </c>
      <c r="D76" s="17">
        <f t="shared" si="36"/>
        <v>2195</v>
      </c>
      <c r="E76" s="22">
        <f>E70</f>
        <v>1066</v>
      </c>
    </row>
    <row r="77" spans="1:10" x14ac:dyDescent="0.35">
      <c r="A77" s="26">
        <f>A71</f>
        <v>171</v>
      </c>
      <c r="B77" s="27">
        <f>B65</f>
        <v>896</v>
      </c>
      <c r="C77" s="27">
        <f>F59</f>
        <v>9940</v>
      </c>
      <c r="D77" s="27">
        <f>D71</f>
        <v>1066</v>
      </c>
      <c r="E77" s="23">
        <f>E71</f>
        <v>873</v>
      </c>
    </row>
    <row r="78" spans="1:10" x14ac:dyDescent="0.35">
      <c r="A78" t="s">
        <v>16</v>
      </c>
      <c r="G78" t="s">
        <v>21</v>
      </c>
      <c r="H78" s="4">
        <f>MDETERM(A79:E83)</f>
        <v>3228493096044.8418</v>
      </c>
    </row>
    <row r="79" spans="1:10" x14ac:dyDescent="0.35">
      <c r="A79" s="18">
        <f>A55</f>
        <v>50</v>
      </c>
      <c r="B79" s="19">
        <f>B55</f>
        <v>260</v>
      </c>
      <c r="C79" s="19">
        <f t="shared" ref="C79" si="39">C55</f>
        <v>3545</v>
      </c>
      <c r="D79" s="19">
        <f>F55</f>
        <v>2829</v>
      </c>
      <c r="E79" s="20">
        <f>E73</f>
        <v>171</v>
      </c>
      <c r="I79" t="s">
        <v>25</v>
      </c>
      <c r="J79">
        <f>H84/H54</f>
        <v>0.27049394379779013</v>
      </c>
    </row>
    <row r="80" spans="1:10" x14ac:dyDescent="0.35">
      <c r="A80" s="21">
        <f t="shared" ref="A80:C80" si="40">A56</f>
        <v>260</v>
      </c>
      <c r="B80" s="17">
        <f t="shared" si="40"/>
        <v>1656</v>
      </c>
      <c r="C80" s="17">
        <f t="shared" si="40"/>
        <v>18251</v>
      </c>
      <c r="D80" s="17">
        <f t="shared" ref="D80:D82" si="41">F56</f>
        <v>15438</v>
      </c>
      <c r="E80" s="22">
        <f>E74</f>
        <v>896</v>
      </c>
    </row>
    <row r="81" spans="1:8" x14ac:dyDescent="0.35">
      <c r="A81" s="21">
        <f t="shared" ref="A81:C81" si="42">A57</f>
        <v>3545</v>
      </c>
      <c r="B81" s="17">
        <f t="shared" si="42"/>
        <v>18251</v>
      </c>
      <c r="C81" s="17">
        <f t="shared" si="42"/>
        <v>263279</v>
      </c>
      <c r="D81" s="17">
        <f t="shared" si="41"/>
        <v>212160</v>
      </c>
      <c r="E81" s="22">
        <f>E75</f>
        <v>12299</v>
      </c>
    </row>
    <row r="82" spans="1:8" x14ac:dyDescent="0.35">
      <c r="A82" s="21">
        <f t="shared" ref="A82:C82" si="43">A58</f>
        <v>319</v>
      </c>
      <c r="B82" s="17">
        <f t="shared" si="43"/>
        <v>1715</v>
      </c>
      <c r="C82" s="17">
        <f t="shared" si="43"/>
        <v>22504</v>
      </c>
      <c r="D82" s="17">
        <f t="shared" si="41"/>
        <v>18160</v>
      </c>
      <c r="E82" s="22">
        <f>E76</f>
        <v>1066</v>
      </c>
    </row>
    <row r="83" spans="1:8" x14ac:dyDescent="0.35">
      <c r="A83" s="26">
        <f>A77</f>
        <v>171</v>
      </c>
      <c r="B83" s="27">
        <f>B65</f>
        <v>896</v>
      </c>
      <c r="C83" s="27">
        <f>C71</f>
        <v>12299</v>
      </c>
      <c r="D83" s="27">
        <f>B71</f>
        <v>9940</v>
      </c>
      <c r="E83" s="23">
        <f>E77</f>
        <v>873</v>
      </c>
    </row>
    <row r="84" spans="1:8" x14ac:dyDescent="0.35">
      <c r="A84" t="s">
        <v>74</v>
      </c>
      <c r="G84" t="s">
        <v>75</v>
      </c>
      <c r="H84" s="4">
        <f>MDETERM(A85:E89)</f>
        <v>2035003046927.9805</v>
      </c>
    </row>
    <row r="85" spans="1:8" x14ac:dyDescent="0.35">
      <c r="A85" s="18">
        <f>A79</f>
        <v>50</v>
      </c>
      <c r="B85" s="19">
        <f>B61</f>
        <v>260</v>
      </c>
      <c r="C85" s="19">
        <f>C61</f>
        <v>3545</v>
      </c>
      <c r="D85" s="19">
        <f>D67</f>
        <v>319</v>
      </c>
      <c r="E85" s="20">
        <f>D79</f>
        <v>2829</v>
      </c>
    </row>
    <row r="86" spans="1:8" x14ac:dyDescent="0.35">
      <c r="A86" s="21">
        <f>A80</f>
        <v>260</v>
      </c>
      <c r="B86" s="17">
        <f t="shared" ref="B86" si="44">B62</f>
        <v>1656</v>
      </c>
      <c r="C86" s="17">
        <f t="shared" ref="C86" si="45">C62</f>
        <v>18251</v>
      </c>
      <c r="D86" s="17">
        <f t="shared" ref="D86:D88" si="46">D68</f>
        <v>1715</v>
      </c>
      <c r="E86" s="22">
        <f>D80</f>
        <v>15438</v>
      </c>
    </row>
    <row r="87" spans="1:8" x14ac:dyDescent="0.35">
      <c r="A87" s="21">
        <f>A81</f>
        <v>3545</v>
      </c>
      <c r="B87" s="17">
        <f t="shared" ref="B87" si="47">B63</f>
        <v>18251</v>
      </c>
      <c r="C87" s="17">
        <f t="shared" ref="C87" si="48">C63</f>
        <v>263279</v>
      </c>
      <c r="D87" s="17">
        <f t="shared" si="46"/>
        <v>22504</v>
      </c>
      <c r="E87" s="22">
        <f>D81</f>
        <v>212160</v>
      </c>
    </row>
    <row r="88" spans="1:8" x14ac:dyDescent="0.35">
      <c r="A88" s="21">
        <f>A82</f>
        <v>319</v>
      </c>
      <c r="B88" s="17">
        <f t="shared" ref="B88" si="49">B64</f>
        <v>1715</v>
      </c>
      <c r="C88" s="17">
        <f t="shared" ref="C88" si="50">C64</f>
        <v>22504</v>
      </c>
      <c r="D88" s="17">
        <f t="shared" si="46"/>
        <v>2195</v>
      </c>
      <c r="E88" s="22">
        <f>D82</f>
        <v>18160</v>
      </c>
    </row>
    <row r="89" spans="1:8" x14ac:dyDescent="0.35">
      <c r="A89" s="26">
        <f>A83</f>
        <v>171</v>
      </c>
      <c r="B89" s="27">
        <f>B77</f>
        <v>896</v>
      </c>
      <c r="C89" s="27">
        <f>C83</f>
        <v>12299</v>
      </c>
      <c r="D89" s="27">
        <f>D77</f>
        <v>1066</v>
      </c>
      <c r="E89" s="23">
        <f>D83</f>
        <v>9940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A1400Ea</dc:creator>
  <cp:lastModifiedBy>Daniel Steven Setyawan</cp:lastModifiedBy>
  <dcterms:created xsi:type="dcterms:W3CDTF">2025-10-08T23:53:16Z</dcterms:created>
  <dcterms:modified xsi:type="dcterms:W3CDTF">2025-12-09T18:43:14Z</dcterms:modified>
</cp:coreProperties>
</file>